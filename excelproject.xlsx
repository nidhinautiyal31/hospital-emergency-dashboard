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excelproject\"/>
    </mc:Choice>
  </mc:AlternateContent>
  <xr:revisionPtr revIDLastSave="0" documentId="8_{4754CEC8-57C3-416C-A45A-2812004830D6}" xr6:coauthVersionLast="47" xr6:coauthVersionMax="47" xr10:uidLastSave="{00000000-0000-0000-0000-000000000000}"/>
  <bookViews>
    <workbookView xWindow="-108" yWindow="-108" windowWidth="23256" windowHeight="12456" firstSheet="1" activeTab="1" xr2:uid="{785EC4BF-3375-459E-9B97-FE8FCC505AA5}"/>
  </bookViews>
  <sheets>
    <sheet name="Pivot Report" sheetId="1" r:id="rId1"/>
    <sheet name="Dashboard" sheetId="2" r:id="rId2"/>
    <sheet name="Daily ER No of Patient" sheetId="3" r:id="rId3"/>
    <sheet name="Average wait time daily trend " sheetId="4" r:id="rId4"/>
    <sheet name="Satisfaction score daily trends" sheetId="5" r:id="rId5"/>
  </sheets>
  <definedNames>
    <definedName name="Slicer_Date__Month">#N/A</definedName>
    <definedName name="Slicer_Date__Year">#N/A</definedName>
  </definedNames>
  <calcPr calcId="191029"/>
  <pivotCaches>
    <pivotCache cacheId="764" r:id="rId6"/>
    <pivotCache cacheId="767" r:id="rId7"/>
    <pivotCache cacheId="770" r:id="rId8"/>
    <pivotCache cacheId="773" r:id="rId9"/>
    <pivotCache cacheId="776" r:id="rId10"/>
    <pivotCache cacheId="779" r:id="rId11"/>
    <pivotCache cacheId="782" r:id="rId12"/>
    <pivotCache cacheId="785" r:id="rId13"/>
    <pivotCache cacheId="788" r:id="rId14"/>
    <pivotCache cacheId="791" r:id="rId15"/>
    <pivotCache cacheId="794" r:id="rId16"/>
    <pivotCache cacheId="797" r:id="rId17"/>
  </pivotCaches>
  <extLst>
    <ext xmlns:x14="http://schemas.microsoft.com/office/spreadsheetml/2009/9/main" uri="{876F7934-8845-4945-9796-88D515C7AA90}">
      <x14:pivotCaches>
        <pivotCache cacheId="45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013b16a-6146-4b99-9791-ac48013c0db0" name="Hospital Emergency Room Data" connection="Query - Hospital Emergency Room Data"/>
          <x15:modelTable id="Calender_Table_4eb409ea-3eca-453f-b826-219302838cc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0" i="1" l="1"/>
  <c r="C50" i="1"/>
  <c r="B49" i="1"/>
  <c r="C49" i="1"/>
  <c r="A49"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07DFAA-C80A-4DA9-BE9A-17C0D9361A73}" name="Query - Calender_Table" description="Connection to the 'Calender_Table' query in the workbook." type="100" refreshedVersion="7" minRefreshableVersion="5">
    <extLst>
      <ext xmlns:x15="http://schemas.microsoft.com/office/spreadsheetml/2010/11/main" uri="{DE250136-89BD-433C-8126-D09CA5730AF9}">
        <x15:connection id="2a9cfff1-d166-40dd-81c7-42709175f6d4"/>
      </ext>
    </extLst>
  </connection>
  <connection id="2" xr16:uid="{05DB6C97-DD08-42CF-B567-4A840D29EE19}"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a1317340-5436-4f1e-924a-e0121acf2491"/>
      </ext>
    </extLst>
  </connection>
  <connection id="3" xr16:uid="{298F3290-88FA-4433-869B-8EC3FD980D89}"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<sst xmlns="http://schemas.openxmlformats.org/spreadsheetml/2006/main" count="159" uniqueCount="78">
  <si>
    <t>Distinct Count of Patient Id</t>
  </si>
  <si>
    <t>No.of patient</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</si>
  <si>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</si>
  <si>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</si>
  <si>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</si>
  <si>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</si>
  <si>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</si>
  <si>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</si>
  <si>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</si>
  <si>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</si>
  <si>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</si>
  <si>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</si>
  <si>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</si>
  <si>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</si>
  <si>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</si>
  <si>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</si>
  <si>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</si>
  <si>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</si>
  <si>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</si>
  <si>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</si>
  <si>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</si>
  <si>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</si>
  <si>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</si>
  <si>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</si>
  <si>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</si>
  <si>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</si>
  <si>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</si>
  <si>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</si>
  <si>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</si>
  <si>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</si>
  <si>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</si>
  <si>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</si>
  <si>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</si>
  <si>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</si>
  <si>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</si>
  <si>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</si>
  <si>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</si>
  <si>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Showing a daily trend with an speckline to spot patterns like busy or seasonal trends.</t>
  </si>
  <si>
    <t>daily trends of no of patient</t>
  </si>
  <si>
    <t xml:space="preserve">average wait time </t>
  </si>
  <si>
    <t>Use an area chart to track daily changes and highlight days with longer wait times that might need improvements</t>
  </si>
  <si>
    <t xml:space="preserve"> Use an area chart to show trensds, spot drops in satisfaction,and link them to busy times or challenges.</t>
  </si>
  <si>
    <t>Satisfaction score daily trend</t>
  </si>
  <si>
    <t>Delay</t>
  </si>
  <si>
    <t>Ontime</t>
  </si>
  <si>
    <t>Count of Patient attend Status</t>
  </si>
  <si>
    <t>Admitted</t>
  </si>
  <si>
    <t>Not Admitted</t>
  </si>
  <si>
    <t>Count of Patient Admission Flag</t>
  </si>
  <si>
    <t>Count of Patient Admission Flag2</t>
  </si>
  <si>
    <t>Admission Status</t>
  </si>
  <si>
    <t>% Status</t>
  </si>
  <si>
    <t>Patient</t>
  </si>
  <si>
    <t>0-09</t>
  </si>
  <si>
    <t>10-19</t>
  </si>
  <si>
    <t>20-29</t>
  </si>
  <si>
    <t>30-39</t>
  </si>
  <si>
    <t>40-49</t>
  </si>
  <si>
    <t>50-59</t>
  </si>
  <si>
    <t>60-69</t>
  </si>
  <si>
    <t>70-79</t>
  </si>
  <si>
    <t>Count of Age Group</t>
  </si>
  <si>
    <t>age group wise analysis</t>
  </si>
  <si>
    <t>attended status</t>
  </si>
  <si>
    <t>Female</t>
  </si>
  <si>
    <t>Male</t>
  </si>
  <si>
    <t>Count of Patient Gender</t>
  </si>
  <si>
    <t xml:space="preserve">Gender </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</si>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</sst>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10" fontId="0" fillId="0" borderId="0" xfId="0" applyNumberFormat="1"/>
    <xf numFmtId="1" fontId="0" fillId="0" borderId="0" xfId="0" applyNumberFormat="1"/>
    <xf numFmtId="0" fontId="2" fillId="5" borderId="0" xfId="0" applyFont="1" applyFill="1"/>
    <xf numFmtId="0" fontId="0" fillId="0" borderId="0" xfId="0" applyAlignment="1">
      <alignment horizontal="center"/>
    </xf>
    <xf numFmtId="9" fontId="0" fillId="0" borderId="0" xfId="1" applyFont="1" applyAlignment="1">
      <alignment horizontal="center"/>
    </xf>
  </cellXfs>
  <cellStyles count="2">
    <cellStyle name="Normal" xfId="0" builtinId="0"/>
    <cellStyle name="Percent" xfId="1" builtinId="5"/>
  </cellStyles>
  <dxfs count="170">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66" formatCode="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166" formatCode="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bgColor theme="0" tint="-4.9989318521683403E-2"/>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A42E2673-2502-498E-8486-CCE196C6989E}">
      <tableStyleElement type="wholeTable" dxfId="169"/>
      <tableStyleElement type="headerRow" dxfId="16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2FA9584-B9D3-4F85-B7CE-4F553490F6D3}"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9450785997509962"/>
                  <c:h val="0.21641732283464568"/>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DBBC28-F31C-4C73-90E8-6CB11D7F5055}"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2.699063934873925E-2"/>
          <c:y val="0.25114155251141551"/>
          <c:w val="0.92577574179096722"/>
          <c:h val="0.58904109589041098"/>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Lbls>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2FA9584-B9D3-4F85-B7CE-4F553490F6D3}"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9450785997509962"/>
                      <c:h val="0.21641732283464568"/>
                    </c:manualLayout>
                  </c15:layout>
                  <c15:dlblFieldTable/>
                  <c15:showDataLabelsRange val="1"/>
                </c:ext>
                <c:ext xmlns:c16="http://schemas.microsoft.com/office/drawing/2014/chart" uri="{C3380CC4-5D6E-409C-BE32-E72D297353CC}">
                  <c16:uniqueId val="{00000003-6E49-4CFC-BC40-08948483AB55}"/>
                </c:ext>
              </c:extLst>
            </c:dLbl>
            <c:dLbl>
              <c:idx val="1"/>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DBBC28-F31C-4C73-90E8-6CB11D7F5055}"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4-6E49-4CFC-BC40-08948483AB55}"/>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Report'!$C$39:$C$40</c:f>
              <c:strCache>
                <c:ptCount val="2"/>
                <c:pt idx="0">
                  <c:v>Admitted</c:v>
                </c:pt>
                <c:pt idx="1">
                  <c:v>Not Admitted</c:v>
                </c:pt>
              </c:strCache>
            </c:strRef>
          </c:cat>
          <c:val>
            <c:numRef>
              <c:f>'Pivot Report'!$C$39:$C$40</c:f>
              <c:numCache>
                <c:formatCode>0</c:formatCode>
                <c:ptCount val="2"/>
                <c:pt idx="0">
                  <c:v>269</c:v>
                </c:pt>
                <c:pt idx="1">
                  <c:v>244</c:v>
                </c:pt>
              </c:numCache>
            </c:numRef>
          </c:val>
          <c:extLst>
            <c:ext xmlns:c15="http://schemas.microsoft.com/office/drawing/2012/chart" uri="{02D57815-91ED-43cb-92C2-25804820EDAC}">
              <c15:datalabelsRange>
                <c15:f>'Pivot Report'!$C$39:$C$40</c15:f>
                <c15:dlblRangeCache>
                  <c:ptCount val="2"/>
                  <c:pt idx="0">
                    <c:v>52.44%</c:v>
                  </c:pt>
                  <c:pt idx="1">
                    <c:v>47.56%</c:v>
                  </c:pt>
                </c15:dlblRangeCache>
              </c15:datalabelsRange>
            </c:ext>
            <c:ext xmlns:c16="http://schemas.microsoft.com/office/drawing/2014/chart" uri="{C3380CC4-5D6E-409C-BE32-E72D297353CC}">
              <c16:uniqueId val="{00000000-6E49-4CFC-BC40-08948483AB55}"/>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0.00%</c:formatCode>
                <c:ptCount val="2"/>
                <c:pt idx="0">
                  <c:v>0.52436647173489281</c:v>
                </c:pt>
                <c:pt idx="1">
                  <c:v>0.47563352826510719</c:v>
                </c:pt>
              </c:numCache>
            </c:numRef>
          </c:val>
          <c:extLst>
            <c:ext xmlns:c16="http://schemas.microsoft.com/office/drawing/2014/chart" uri="{C3380CC4-5D6E-409C-BE32-E72D297353CC}">
              <c16:uniqueId val="{00000001-6E49-4CFC-BC40-08948483AB55}"/>
            </c:ext>
          </c:extLst>
        </c:ser>
        <c:dLbls>
          <c:showLegendKey val="0"/>
          <c:showVal val="0"/>
          <c:showCatName val="0"/>
          <c:showSerName val="0"/>
          <c:showPercent val="0"/>
          <c:showBubbleSize val="0"/>
        </c:dLbls>
        <c:gapWidth val="0"/>
        <c:axId val="1210936367"/>
        <c:axId val="1210933871"/>
      </c:barChart>
      <c:catAx>
        <c:axId val="1210936367"/>
        <c:scaling>
          <c:orientation val="minMax"/>
        </c:scaling>
        <c:delete val="1"/>
        <c:axPos val="l"/>
        <c:numFmt formatCode="General" sourceLinked="1"/>
        <c:majorTickMark val="none"/>
        <c:minorTickMark val="none"/>
        <c:tickLblPos val="nextTo"/>
        <c:crossAx val="1210933871"/>
        <c:crosses val="autoZero"/>
        <c:auto val="1"/>
        <c:lblAlgn val="ctr"/>
        <c:lblOffset val="100"/>
        <c:noMultiLvlLbl val="0"/>
      </c:catAx>
      <c:valAx>
        <c:axId val="1210933871"/>
        <c:scaling>
          <c:orientation val="minMax"/>
        </c:scaling>
        <c:delete val="1"/>
        <c:axPos val="b"/>
        <c:numFmt formatCode="0" sourceLinked="1"/>
        <c:majorTickMark val="none"/>
        <c:minorTickMark val="none"/>
        <c:tickLblPos val="nextTo"/>
        <c:crossAx val="121093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7578-4206-9FA0-7261BCE5DB7B}"/>
            </c:ext>
          </c:extLst>
        </c:ser>
        <c:dLbls>
          <c:showLegendKey val="0"/>
          <c:showVal val="0"/>
          <c:showCatName val="0"/>
          <c:showSerName val="0"/>
          <c:showPercent val="0"/>
          <c:showBubbleSize val="0"/>
        </c:dLbls>
        <c:axId val="1936403727"/>
        <c:axId val="2059463647"/>
      </c:areaChart>
      <c:catAx>
        <c:axId val="1936403727"/>
        <c:scaling>
          <c:orientation val="minMax"/>
        </c:scaling>
        <c:delete val="1"/>
        <c:axPos val="b"/>
        <c:numFmt formatCode="General" sourceLinked="1"/>
        <c:majorTickMark val="out"/>
        <c:minorTickMark val="none"/>
        <c:tickLblPos val="nextTo"/>
        <c:crossAx val="2059463647"/>
        <c:crosses val="autoZero"/>
        <c:auto val="1"/>
        <c:lblAlgn val="ctr"/>
        <c:lblOffset val="100"/>
        <c:noMultiLvlLbl val="0"/>
      </c:catAx>
      <c:valAx>
        <c:axId val="2059463647"/>
        <c:scaling>
          <c:orientation val="minMax"/>
        </c:scaling>
        <c:delete val="1"/>
        <c:axPos val="l"/>
        <c:numFmt formatCode="General" sourceLinked="1"/>
        <c:majorTickMark val="none"/>
        <c:minorTickMark val="none"/>
        <c:tickLblPos val="nextTo"/>
        <c:crossAx val="1936403727"/>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57763300760043E-2"/>
          <c:y val="0"/>
          <c:w val="0.98914223669923995"/>
          <c:h val="1"/>
        </c:manualLayout>
      </c:layout>
      <c:areaChart>
        <c:grouping val="standard"/>
        <c:varyColors val="0"/>
        <c:ser>
          <c:idx val="0"/>
          <c:order val="0"/>
          <c:tx>
            <c:strRef>
              <c:f>'Pivot Report'!$I$4</c:f>
              <c:strCache>
                <c:ptCount val="1"/>
                <c:pt idx="0">
                  <c:v>Total</c:v>
                </c:pt>
              </c:strCache>
            </c:strRef>
          </c:tx>
          <c:spPr>
            <a:solidFill>
              <a:schemeClr val="accent1"/>
            </a:solidFill>
            <a:ln>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2DC1-4121-BD33-A9B3C59DBFAC}"/>
            </c:ext>
          </c:extLst>
        </c:ser>
        <c:dLbls>
          <c:showLegendKey val="0"/>
          <c:showVal val="0"/>
          <c:showCatName val="0"/>
          <c:showSerName val="0"/>
          <c:showPercent val="0"/>
          <c:showBubbleSize val="0"/>
        </c:dLbls>
        <c:axId val="541416943"/>
        <c:axId val="541415695"/>
      </c:areaChart>
      <c:catAx>
        <c:axId val="541416943"/>
        <c:scaling>
          <c:orientation val="minMax"/>
        </c:scaling>
        <c:delete val="1"/>
        <c:axPos val="b"/>
        <c:numFmt formatCode="General" sourceLinked="1"/>
        <c:majorTickMark val="out"/>
        <c:minorTickMark val="none"/>
        <c:tickLblPos val="nextTo"/>
        <c:crossAx val="541415695"/>
        <c:crosses val="autoZero"/>
        <c:auto val="1"/>
        <c:lblAlgn val="ctr"/>
        <c:lblOffset val="100"/>
        <c:noMultiLvlLbl val="0"/>
      </c:catAx>
      <c:valAx>
        <c:axId val="541415695"/>
        <c:scaling>
          <c:orientation val="minMax"/>
        </c:scaling>
        <c:delete val="1"/>
        <c:axPos val="l"/>
        <c:numFmt formatCode="0.00" sourceLinked="1"/>
        <c:majorTickMark val="none"/>
        <c:minorTickMark val="none"/>
        <c:tickLblPos val="nextTo"/>
        <c:crossAx val="541416943"/>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2416717141126589E-3"/>
          <c:w val="1"/>
          <c:h val="0.9731182795698925"/>
        </c:manualLayout>
      </c:layout>
      <c:areaChart>
        <c:grouping val="standard"/>
        <c:varyColors val="0"/>
        <c:ser>
          <c:idx val="0"/>
          <c:order val="0"/>
          <c:tx>
            <c:strRef>
              <c:f>'Pivot Report'!$M$4</c:f>
              <c:strCache>
                <c:ptCount val="1"/>
                <c:pt idx="0">
                  <c:v>Total</c:v>
                </c:pt>
              </c:strCache>
            </c:strRef>
          </c:tx>
          <c:spPr>
            <a:solidFill>
              <a:schemeClr val="accent1"/>
            </a:solidFill>
            <a:ln>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326-4FA0-968D-7219ED8D2D87}"/>
            </c:ext>
          </c:extLst>
        </c:ser>
        <c:dLbls>
          <c:showLegendKey val="0"/>
          <c:showVal val="0"/>
          <c:showCatName val="0"/>
          <c:showSerName val="0"/>
          <c:showPercent val="0"/>
          <c:showBubbleSize val="0"/>
        </c:dLbls>
        <c:axId val="1077584383"/>
        <c:axId val="1077586463"/>
      </c:areaChart>
      <c:catAx>
        <c:axId val="1077584383"/>
        <c:scaling>
          <c:orientation val="minMax"/>
        </c:scaling>
        <c:delete val="1"/>
        <c:axPos val="b"/>
        <c:numFmt formatCode="General" sourceLinked="1"/>
        <c:majorTickMark val="out"/>
        <c:minorTickMark val="none"/>
        <c:tickLblPos val="nextTo"/>
        <c:crossAx val="1077586463"/>
        <c:crosses val="autoZero"/>
        <c:auto val="1"/>
        <c:lblAlgn val="ctr"/>
        <c:lblOffset val="100"/>
        <c:noMultiLvlLbl val="0"/>
      </c:catAx>
      <c:valAx>
        <c:axId val="1077586463"/>
        <c:scaling>
          <c:orientation val="minMax"/>
        </c:scaling>
        <c:delete val="1"/>
        <c:axPos val="l"/>
        <c:numFmt formatCode="0.00" sourceLinked="1"/>
        <c:majorTickMark val="none"/>
        <c:minorTickMark val="none"/>
        <c:tickLblPos val="nextTo"/>
        <c:crossAx val="1077584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68882733148664E-2"/>
          <c:y val="1.3520383963982592E-2"/>
          <c:w val="0.9255499153976311"/>
          <c:h val="0.81439213715306868"/>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39B7-4F33-97E6-754785F47ECF}"/>
            </c:ext>
          </c:extLst>
        </c:ser>
        <c:dLbls>
          <c:showLegendKey val="0"/>
          <c:showVal val="0"/>
          <c:showCatName val="0"/>
          <c:showSerName val="0"/>
          <c:showPercent val="0"/>
          <c:showBubbleSize val="0"/>
        </c:dLbls>
        <c:gapWidth val="219"/>
        <c:overlap val="-27"/>
        <c:axId val="1216090383"/>
        <c:axId val="1216087471"/>
      </c:barChart>
      <c:catAx>
        <c:axId val="121609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216087471"/>
        <c:crosses val="autoZero"/>
        <c:auto val="1"/>
        <c:lblAlgn val="ctr"/>
        <c:lblOffset val="100"/>
        <c:noMultiLvlLbl val="0"/>
      </c:catAx>
      <c:valAx>
        <c:axId val="1216087471"/>
        <c:scaling>
          <c:orientation val="minMax"/>
        </c:scaling>
        <c:delete val="1"/>
        <c:axPos val="l"/>
        <c:numFmt formatCode="0" sourceLinked="1"/>
        <c:majorTickMark val="none"/>
        <c:minorTickMark val="none"/>
        <c:tickLblPos val="nextTo"/>
        <c:crossAx val="12160903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2">
                  <a:lumMod val="60000"/>
                  <a:lumOff val="40000"/>
                </a:schemeClr>
              </a:gs>
              <a:gs pos="0">
                <a:schemeClr val="accent2"/>
              </a:gs>
            </a:gsLst>
            <a:lin ang="5400000" scaled="0"/>
          </a:gradFill>
          <a:ln w="19050">
            <a:solidFill>
              <a:schemeClr val="lt1"/>
            </a:solidFill>
          </a:ln>
          <a:effectLst/>
        </c:spPr>
      </c:pivotFmt>
    </c:pivotFmts>
    <c:plotArea>
      <c:layout>
        <c:manualLayout>
          <c:layoutTarget val="inner"/>
          <c:xMode val="edge"/>
          <c:yMode val="edge"/>
          <c:x val="0.11325625098298643"/>
          <c:y val="0.30603493528826137"/>
          <c:w val="0.74903484919974772"/>
          <c:h val="0.69396506471173858"/>
        </c:manualLayout>
      </c:layout>
      <c:pieChart>
        <c:varyColors val="1"/>
        <c:ser>
          <c:idx val="0"/>
          <c:order val="0"/>
          <c:tx>
            <c:strRef>
              <c:f>'Pivot Report'!$C$66</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BA6-4319-979C-DFFF9AA79C2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BA6-4319-979C-DFFF9AA79C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Report'!$B$67:$B$69</c:f>
              <c:strCache>
                <c:ptCount val="2"/>
                <c:pt idx="0">
                  <c:v>Delay</c:v>
                </c:pt>
                <c:pt idx="1">
                  <c:v>Ontime</c:v>
                </c:pt>
              </c:strCache>
            </c:strRef>
          </c:cat>
          <c:val>
            <c:numRef>
              <c:f>'Pivot Report'!$C$67:$C$69</c:f>
              <c:numCache>
                <c:formatCode>0</c:formatCode>
                <c:ptCount val="2"/>
                <c:pt idx="0">
                  <c:v>316</c:v>
                </c:pt>
                <c:pt idx="1">
                  <c:v>197</c:v>
                </c:pt>
              </c:numCache>
            </c:numRef>
          </c:val>
          <c:extLst>
            <c:ext xmlns:c16="http://schemas.microsoft.com/office/drawing/2014/chart" uri="{C3380CC4-5D6E-409C-BE32-E72D297353CC}">
              <c16:uniqueId val="{00000004-ABA6-4319-979C-DFFF9AA79C2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945505664433968"/>
          <c:y val="5.521669731176241E-2"/>
          <c:w val="0.72459922528508636"/>
          <c:h val="0.20459227079373699"/>
        </c:manualLayout>
      </c:layout>
      <c:overlay val="0"/>
      <c:spPr>
        <a:solidFill>
          <a:schemeClr val="lt1">
            <a:alpha val="50000"/>
          </a:schemeClr>
        </a:solid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Report!PivotTable10</c:name>
    <c:fmtId val="1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1336955562475133E-2"/>
          <c:y val="0.22257217847769029"/>
          <c:w val="0.77119595171767263"/>
          <c:h val="0.77742782152230971"/>
        </c:manualLayout>
      </c:layout>
      <c:doughnutChart>
        <c:varyColors val="1"/>
        <c:ser>
          <c:idx val="0"/>
          <c:order val="0"/>
          <c:tx>
            <c:strRef>
              <c:f>'Pivot Report'!$C$74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B96-4964-BBB2-214CCB4B788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B96-4964-BBB2-214CCB4B78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Report'!$B$75:$B$77</c:f>
              <c:strCache>
                <c:ptCount val="2"/>
                <c:pt idx="0">
                  <c:v>Female</c:v>
                </c:pt>
                <c:pt idx="1">
                  <c:v>Male</c:v>
                </c:pt>
              </c:strCache>
            </c:strRef>
          </c:cat>
          <c:val>
            <c:numRef>
              <c:f>'Pivot Report'!$C$75:$C$77</c:f>
              <c:numCache>
                <c:formatCode>0.00</c:formatCode>
                <c:ptCount val="2"/>
                <c:pt idx="0">
                  <c:v>241</c:v>
                </c:pt>
                <c:pt idx="1">
                  <c:v>272</c:v>
                </c:pt>
              </c:numCache>
            </c:numRef>
          </c:val>
          <c:extLst>
            <c:ext xmlns:c16="http://schemas.microsoft.com/office/drawing/2014/chart" uri="{C3380CC4-5D6E-409C-BE32-E72D297353CC}">
              <c16:uniqueId val="{00000004-3B96-4964-BBB2-214CCB4B788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7.4480887831968975E-2"/>
          <c:y val="6.362346598567073E-2"/>
          <c:w val="0.71489624967281706"/>
          <c:h val="0.1745548698304603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Report'!$A$85:$A$93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Report'!$B$85:$B$93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9CA6-4A34-8B08-F7D847F03AFF}"/>
            </c:ext>
          </c:extLst>
        </c:ser>
        <c:dLbls>
          <c:showLegendKey val="0"/>
          <c:showVal val="0"/>
          <c:showCatName val="0"/>
          <c:showSerName val="0"/>
          <c:showPercent val="0"/>
          <c:showBubbleSize val="0"/>
        </c:dLbls>
        <c:gapWidth val="182"/>
        <c:axId val="1148808207"/>
        <c:axId val="1148808623"/>
      </c:barChart>
      <c:catAx>
        <c:axId val="114880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48808623"/>
        <c:crosses val="autoZero"/>
        <c:auto val="1"/>
        <c:lblAlgn val="ctr"/>
        <c:lblOffset val="100"/>
        <c:noMultiLvlLbl val="0"/>
      </c:catAx>
      <c:valAx>
        <c:axId val="1148808623"/>
        <c:scaling>
          <c:orientation val="minMax"/>
        </c:scaling>
        <c:delete val="1"/>
        <c:axPos val="b"/>
        <c:numFmt formatCode="0" sourceLinked="1"/>
        <c:majorTickMark val="none"/>
        <c:minorTickMark val="none"/>
        <c:tickLblPos val="nextTo"/>
        <c:crossAx val="114880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28381355377671E-2"/>
          <c:y val="9.696969696969697E-2"/>
          <c:w val="0.92075617452250602"/>
          <c:h val="0.7891257456454307"/>
        </c:manualLayout>
      </c:layout>
      <c:areaChart>
        <c:grouping val="standard"/>
        <c:varyColors val="0"/>
        <c:ser>
          <c:idx val="0"/>
          <c:order val="0"/>
          <c:tx>
            <c:strRef>
              <c:f>'Pivot Report'!$D$4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F805-4506-AA9C-3AF524BEFF84}"/>
            </c:ext>
          </c:extLst>
        </c:ser>
        <c:dLbls>
          <c:showLegendKey val="0"/>
          <c:showVal val="0"/>
          <c:showCatName val="0"/>
          <c:showSerName val="0"/>
          <c:showPercent val="0"/>
          <c:showBubbleSize val="0"/>
        </c:dLbls>
        <c:axId val="1936403727"/>
        <c:axId val="2059463647"/>
      </c:areaChart>
      <c:catAx>
        <c:axId val="19364037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9463647"/>
        <c:crosses val="autoZero"/>
        <c:auto val="1"/>
        <c:lblAlgn val="ctr"/>
        <c:lblOffset val="100"/>
        <c:noMultiLvlLbl val="0"/>
      </c:catAx>
      <c:valAx>
        <c:axId val="205946364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9364037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57763300760043E-2"/>
          <c:y val="0"/>
          <c:w val="0.98914223669923995"/>
          <c:h val="1"/>
        </c:manualLayout>
      </c:layout>
      <c:areaChart>
        <c:grouping val="standard"/>
        <c:varyColors val="0"/>
        <c:ser>
          <c:idx val="0"/>
          <c:order val="0"/>
          <c:tx>
            <c:strRef>
              <c:f>'Pivot Report'!$I$4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1607-4AE0-9548-DEF42366DA5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41416943"/>
        <c:axId val="541415695"/>
      </c:areaChart>
      <c:catAx>
        <c:axId val="5414169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41415695"/>
        <c:crosses val="autoZero"/>
        <c:auto val="1"/>
        <c:lblAlgn val="ctr"/>
        <c:lblOffset val="100"/>
        <c:noMultiLvlLbl val="0"/>
      </c:catAx>
      <c:valAx>
        <c:axId val="5414156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5414169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C9BD-4792-8D92-85C1C5E9077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77584383"/>
        <c:axId val="1077586463"/>
      </c:areaChart>
      <c:catAx>
        <c:axId val="10775843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77586463"/>
        <c:crosses val="autoZero"/>
        <c:auto val="1"/>
        <c:lblAlgn val="ctr"/>
        <c:lblOffset val="100"/>
        <c:noMultiLvlLbl val="0"/>
      </c:catAx>
      <c:valAx>
        <c:axId val="10775864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1077584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480066</xdr:colOff>
      <xdr:row>47</xdr:row>
      <xdr:rowOff>167640</xdr:rowOff>
    </xdr:from>
    <xdr:to>
      <xdr:col>5</xdr:col>
      <xdr:colOff>289560</xdr:colOff>
      <xdr:row>50</xdr:row>
      <xdr:rowOff>22860</xdr:rowOff>
    </xdr:to>
    <xdr:graphicFrame macro="">
      <xdr:nvGraphicFramePr>
        <xdr:cNvPr id="3" name="Chart 2">
          <a:extLst>
            <a:ext uri="{FF2B5EF4-FFF2-40B4-BE49-F238E27FC236}">
              <a16:creationId xmlns:a16="http://schemas.microsoft.com/office/drawing/2014/main" id="{452E78D8-8342-48E1-B0A1-6ECF4ED43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114300</xdr:colOff>
      <xdr:row>0</xdr:row>
      <xdr:rowOff>68580</xdr:rowOff>
    </xdr:from>
    <xdr:to>
      <xdr:col>5</xdr:col>
      <xdr:colOff>312420</xdr:colOff>
      <xdr:row>3</xdr:row>
      <xdr:rowOff>38100</xdr:rowOff>
    </xdr:to>
    <xdr:sp macro="" textlink="">
      <xdr:nvSpPr>
        <xdr:cNvPr id="2" name="Rectangle: Rounded Corners 1">
          <a:extLst>
            <a:ext uri="{FF2B5EF4-FFF2-40B4-BE49-F238E27FC236}">
              <a16:creationId xmlns:a16="http://schemas.microsoft.com/office/drawing/2014/main" id="{C29D77D2-9C07-42CA-BD6E-0BE5D942E4D5}"/>
            </a:ext>
          </a:extLst>
        </xdr:cNvPr>
        <xdr:cNvSpPr/>
      </xdr:nvSpPr>
      <xdr:spPr>
        <a:xfrm>
          <a:off x="114300" y="68580"/>
          <a:ext cx="3246120" cy="518160"/>
        </a:xfrm>
        <a:prstGeom prst="roundRect">
          <a:avLst>
            <a:gd name="adj" fmla="val 200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144780</xdr:colOff>
      <xdr:row>0</xdr:row>
      <xdr:rowOff>53340</xdr:rowOff>
    </xdr:from>
    <xdr:to>
      <xdr:col>9</xdr:col>
      <xdr:colOff>220980</xdr:colOff>
      <xdr:row>6</xdr:row>
      <xdr:rowOff>160020</xdr:rowOff>
    </xdr:to>
    <xdr:sp macro="" textlink="">
      <xdr:nvSpPr>
        <xdr:cNvPr id="6" name="Rectangle: Rounded Corners 5">
          <a:extLst>
            <a:ext uri="{FF2B5EF4-FFF2-40B4-BE49-F238E27FC236}">
              <a16:creationId xmlns:a16="http://schemas.microsoft.com/office/drawing/2014/main" id="{D3632E07-0ACD-43B8-A583-978EAE2771E1}"/>
            </a:ext>
          </a:extLst>
        </xdr:cNvPr>
        <xdr:cNvSpPr/>
      </xdr:nvSpPr>
      <xdr:spPr>
        <a:xfrm>
          <a:off x="4411980" y="53340"/>
          <a:ext cx="1295400" cy="1192530"/>
        </a:xfrm>
        <a:prstGeom prst="roundRect">
          <a:avLst>
            <a:gd name="adj" fmla="val 14231"/>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396240</xdr:colOff>
      <xdr:row>0</xdr:row>
      <xdr:rowOff>53340</xdr:rowOff>
    </xdr:from>
    <xdr:to>
      <xdr:col>7</xdr:col>
      <xdr:colOff>76200</xdr:colOff>
      <xdr:row>3</xdr:row>
      <xdr:rowOff>38100</xdr:rowOff>
    </xdr:to>
    <xdr:sp macro="" textlink="">
      <xdr:nvSpPr>
        <xdr:cNvPr id="7" name="Rectangle: Rounded Corners 6">
          <a:extLst>
            <a:ext uri="{FF2B5EF4-FFF2-40B4-BE49-F238E27FC236}">
              <a16:creationId xmlns:a16="http://schemas.microsoft.com/office/drawing/2014/main" id="{DBC7DD38-6AA2-44AB-8B65-D293E5EDF2B3}"/>
            </a:ext>
          </a:extLst>
        </xdr:cNvPr>
        <xdr:cNvSpPr/>
      </xdr:nvSpPr>
      <xdr:spPr>
        <a:xfrm>
          <a:off x="3444240" y="53340"/>
          <a:ext cx="899160" cy="527685"/>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289560</xdr:colOff>
      <xdr:row>0</xdr:row>
      <xdr:rowOff>53340</xdr:rowOff>
    </xdr:from>
    <xdr:to>
      <xdr:col>11</xdr:col>
      <xdr:colOff>266700</xdr:colOff>
      <xdr:row>6</xdr:row>
      <xdr:rowOff>144780</xdr:rowOff>
    </xdr:to>
    <xdr:sp macro="" textlink="">
      <xdr:nvSpPr>
        <xdr:cNvPr id="8" name="Rectangle: Rounded Corners 7">
          <a:extLst>
            <a:ext uri="{FF2B5EF4-FFF2-40B4-BE49-F238E27FC236}">
              <a16:creationId xmlns:a16="http://schemas.microsoft.com/office/drawing/2014/main" id="{5824D36A-8095-4F38-B779-9306FC5135B7}"/>
            </a:ext>
          </a:extLst>
        </xdr:cNvPr>
        <xdr:cNvSpPr/>
      </xdr:nvSpPr>
      <xdr:spPr>
        <a:xfrm>
          <a:off x="5775960" y="53340"/>
          <a:ext cx="1196340" cy="1188720"/>
        </a:xfrm>
        <a:prstGeom prst="roundRect">
          <a:avLst>
            <a:gd name="adj" fmla="val 1038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114300</xdr:colOff>
      <xdr:row>3</xdr:row>
      <xdr:rowOff>91440</xdr:rowOff>
    </xdr:from>
    <xdr:to>
      <xdr:col>1</xdr:col>
      <xdr:colOff>251460</xdr:colOff>
      <xdr:row>16</xdr:row>
      <xdr:rowOff>0</xdr:rowOff>
    </xdr:to>
    <xdr:sp macro="" textlink="">
      <xdr:nvSpPr>
        <xdr:cNvPr id="11" name="Rectangle: Rounded Corners 10">
          <a:extLst>
            <a:ext uri="{FF2B5EF4-FFF2-40B4-BE49-F238E27FC236}">
              <a16:creationId xmlns:a16="http://schemas.microsoft.com/office/drawing/2014/main" id="{B8E5B7A4-E4AA-4923-8436-B25A25E42D7B}"/>
            </a:ext>
          </a:extLst>
        </xdr:cNvPr>
        <xdr:cNvSpPr/>
      </xdr:nvSpPr>
      <xdr:spPr>
        <a:xfrm>
          <a:off x="114300" y="640080"/>
          <a:ext cx="746760" cy="2286000"/>
        </a:xfrm>
        <a:prstGeom prst="roundRect">
          <a:avLst>
            <a:gd name="adj" fmla="val 484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304800</xdr:colOff>
      <xdr:row>3</xdr:row>
      <xdr:rowOff>83820</xdr:rowOff>
    </xdr:from>
    <xdr:to>
      <xdr:col>3</xdr:col>
      <xdr:colOff>129540</xdr:colOff>
      <xdr:row>7</xdr:row>
      <xdr:rowOff>76200</xdr:rowOff>
    </xdr:to>
    <xdr:sp macro="" textlink="">
      <xdr:nvSpPr>
        <xdr:cNvPr id="12" name="Rectangle: Rounded Corners 11">
          <a:extLst>
            <a:ext uri="{FF2B5EF4-FFF2-40B4-BE49-F238E27FC236}">
              <a16:creationId xmlns:a16="http://schemas.microsoft.com/office/drawing/2014/main" id="{D1E9E6C6-2ADF-41DF-80A8-B1E18E88DE69}"/>
            </a:ext>
          </a:extLst>
        </xdr:cNvPr>
        <xdr:cNvSpPr/>
      </xdr:nvSpPr>
      <xdr:spPr>
        <a:xfrm>
          <a:off x="914400" y="632460"/>
          <a:ext cx="1043940" cy="723900"/>
        </a:xfrm>
        <a:prstGeom prst="roundRect">
          <a:avLst>
            <a:gd name="adj" fmla="val 796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175260</xdr:colOff>
      <xdr:row>3</xdr:row>
      <xdr:rowOff>91440</xdr:rowOff>
    </xdr:from>
    <xdr:to>
      <xdr:col>5</xdr:col>
      <xdr:colOff>76200</xdr:colOff>
      <xdr:row>7</xdr:row>
      <xdr:rowOff>83820</xdr:rowOff>
    </xdr:to>
    <xdr:sp macro="" textlink="">
      <xdr:nvSpPr>
        <xdr:cNvPr id="13" name="Rectangle: Rounded Corners 12">
          <a:extLst>
            <a:ext uri="{FF2B5EF4-FFF2-40B4-BE49-F238E27FC236}">
              <a16:creationId xmlns:a16="http://schemas.microsoft.com/office/drawing/2014/main" id="{2500307F-17BA-4E8E-88A4-FA9AA9B567F3}"/>
            </a:ext>
          </a:extLst>
        </xdr:cNvPr>
        <xdr:cNvSpPr/>
      </xdr:nvSpPr>
      <xdr:spPr>
        <a:xfrm>
          <a:off x="2004060" y="640080"/>
          <a:ext cx="1120140" cy="723900"/>
        </a:xfrm>
        <a:prstGeom prst="roundRect">
          <a:avLst>
            <a:gd name="adj" fmla="val 425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129540</xdr:colOff>
      <xdr:row>3</xdr:row>
      <xdr:rowOff>91440</xdr:rowOff>
    </xdr:from>
    <xdr:to>
      <xdr:col>7</xdr:col>
      <xdr:colOff>68580</xdr:colOff>
      <xdr:row>7</xdr:row>
      <xdr:rowOff>83820</xdr:rowOff>
    </xdr:to>
    <xdr:sp macro="" textlink="">
      <xdr:nvSpPr>
        <xdr:cNvPr id="14" name="Rectangle: Rounded Corners 13">
          <a:extLst>
            <a:ext uri="{FF2B5EF4-FFF2-40B4-BE49-F238E27FC236}">
              <a16:creationId xmlns:a16="http://schemas.microsoft.com/office/drawing/2014/main" id="{1A3A9701-3323-49BC-B29B-130CC91CB179}"/>
            </a:ext>
          </a:extLst>
        </xdr:cNvPr>
        <xdr:cNvSpPr/>
      </xdr:nvSpPr>
      <xdr:spPr>
        <a:xfrm>
          <a:off x="3177540" y="640080"/>
          <a:ext cx="1158240" cy="723900"/>
        </a:xfrm>
        <a:prstGeom prst="roundRect">
          <a:avLst>
            <a:gd name="adj" fmla="val 333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304800</xdr:colOff>
      <xdr:row>10</xdr:row>
      <xdr:rowOff>22860</xdr:rowOff>
    </xdr:from>
    <xdr:to>
      <xdr:col>7</xdr:col>
      <xdr:colOff>99060</xdr:colOff>
      <xdr:row>16</xdr:row>
      <xdr:rowOff>0</xdr:rowOff>
    </xdr:to>
    <xdr:sp macro="" textlink="">
      <xdr:nvSpPr>
        <xdr:cNvPr id="15" name="Rectangle: Rounded Corners 14">
          <a:extLst>
            <a:ext uri="{FF2B5EF4-FFF2-40B4-BE49-F238E27FC236}">
              <a16:creationId xmlns:a16="http://schemas.microsoft.com/office/drawing/2014/main" id="{59475ADA-C680-47DD-AA1D-56F874EA8E17}"/>
            </a:ext>
          </a:extLst>
        </xdr:cNvPr>
        <xdr:cNvSpPr/>
      </xdr:nvSpPr>
      <xdr:spPr>
        <a:xfrm>
          <a:off x="914400" y="1851660"/>
          <a:ext cx="3451860" cy="1074420"/>
        </a:xfrm>
        <a:prstGeom prst="roundRect">
          <a:avLst>
            <a:gd name="adj" fmla="val 796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304800</xdr:colOff>
      <xdr:row>7</xdr:row>
      <xdr:rowOff>121920</xdr:rowOff>
    </xdr:from>
    <xdr:to>
      <xdr:col>7</xdr:col>
      <xdr:colOff>83820</xdr:colOff>
      <xdr:row>9</xdr:row>
      <xdr:rowOff>152400</xdr:rowOff>
    </xdr:to>
    <xdr:sp macro="" textlink="">
      <xdr:nvSpPr>
        <xdr:cNvPr id="16" name="Rectangle: Rounded Corners 15">
          <a:extLst>
            <a:ext uri="{FF2B5EF4-FFF2-40B4-BE49-F238E27FC236}">
              <a16:creationId xmlns:a16="http://schemas.microsoft.com/office/drawing/2014/main" id="{309ED7FB-A5D2-45F0-B2B9-220F87DC1877}"/>
            </a:ext>
          </a:extLst>
        </xdr:cNvPr>
        <xdr:cNvSpPr/>
      </xdr:nvSpPr>
      <xdr:spPr>
        <a:xfrm>
          <a:off x="914400" y="1402080"/>
          <a:ext cx="3436620" cy="396240"/>
        </a:xfrm>
        <a:prstGeom prst="roundRect">
          <a:avLst>
            <a:gd name="adj" fmla="val 796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144780</xdr:colOff>
      <xdr:row>7</xdr:row>
      <xdr:rowOff>38100</xdr:rowOff>
    </xdr:from>
    <xdr:to>
      <xdr:col>11</xdr:col>
      <xdr:colOff>304800</xdr:colOff>
      <xdr:row>15</xdr:row>
      <xdr:rowOff>175260</xdr:rowOff>
    </xdr:to>
    <xdr:sp macro="" textlink="">
      <xdr:nvSpPr>
        <xdr:cNvPr id="17" name="Rectangle: Rounded Corners 16">
          <a:extLst>
            <a:ext uri="{FF2B5EF4-FFF2-40B4-BE49-F238E27FC236}">
              <a16:creationId xmlns:a16="http://schemas.microsoft.com/office/drawing/2014/main" id="{51D63A6F-D8EA-4CB0-8B9D-61B599843124}"/>
            </a:ext>
          </a:extLst>
        </xdr:cNvPr>
        <xdr:cNvSpPr/>
      </xdr:nvSpPr>
      <xdr:spPr>
        <a:xfrm>
          <a:off x="4411980" y="1304925"/>
          <a:ext cx="2598420" cy="1584960"/>
        </a:xfrm>
        <a:prstGeom prst="roundRect">
          <a:avLst>
            <a:gd name="adj" fmla="val 10421"/>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137160</xdr:colOff>
      <xdr:row>0</xdr:row>
      <xdr:rowOff>121920</xdr:rowOff>
    </xdr:from>
    <xdr:to>
      <xdr:col>5</xdr:col>
      <xdr:colOff>266700</xdr:colOff>
      <xdr:row>1</xdr:row>
      <xdr:rowOff>160020</xdr:rowOff>
    </xdr:to>
    <xdr:sp macro="" textlink="">
      <xdr:nvSpPr>
        <xdr:cNvPr id="18" name="TextBox 17">
          <a:extLst>
            <a:ext uri="{FF2B5EF4-FFF2-40B4-BE49-F238E27FC236}">
              <a16:creationId xmlns:a16="http://schemas.microsoft.com/office/drawing/2014/main" id="{062A2A97-7269-41AB-A1DC-A8DB076AEE3C}"/>
            </a:ext>
          </a:extLst>
        </xdr:cNvPr>
        <xdr:cNvSpPr txBox="1"/>
      </xdr:nvSpPr>
      <xdr:spPr>
        <a:xfrm>
          <a:off x="746760" y="121920"/>
          <a:ext cx="25679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Hospital Emergency Room Dashboard</a:t>
          </a:r>
        </a:p>
      </xdr:txBody>
    </xdr:sp>
    <xdr:clientData/>
  </xdr:twoCellAnchor>
  <xdr:twoCellAnchor editAs="oneCell">
    <xdr:from>
      <xdr:col>0</xdr:col>
      <xdr:colOff>0</xdr:colOff>
      <xdr:row>0</xdr:row>
      <xdr:rowOff>114300</xdr:rowOff>
    </xdr:from>
    <xdr:to>
      <xdr:col>1</xdr:col>
      <xdr:colOff>297180</xdr:colOff>
      <xdr:row>3</xdr:row>
      <xdr:rowOff>62644</xdr:rowOff>
    </xdr:to>
    <xdr:pic>
      <xdr:nvPicPr>
        <xdr:cNvPr id="20" name="Picture 19">
          <a:extLst>
            <a:ext uri="{FF2B5EF4-FFF2-40B4-BE49-F238E27FC236}">
              <a16:creationId xmlns:a16="http://schemas.microsoft.com/office/drawing/2014/main" id="{AB8E8C12-971E-498A-95D8-8DA54D14F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4300"/>
          <a:ext cx="906780" cy="496984"/>
        </a:xfrm>
        <a:prstGeom prst="rect">
          <a:avLst/>
        </a:prstGeom>
      </xdr:spPr>
    </xdr:pic>
    <xdr:clientData/>
  </xdr:twoCellAnchor>
  <xdr:twoCellAnchor editAs="absolute">
    <xdr:from>
      <xdr:col>2</xdr:col>
      <xdr:colOff>91440</xdr:colOff>
      <xdr:row>1</xdr:row>
      <xdr:rowOff>137160</xdr:rowOff>
    </xdr:from>
    <xdr:to>
      <xdr:col>3</xdr:col>
      <xdr:colOff>449580</xdr:colOff>
      <xdr:row>2</xdr:row>
      <xdr:rowOff>129540</xdr:rowOff>
    </xdr:to>
    <xdr:sp macro="" textlink="">
      <xdr:nvSpPr>
        <xdr:cNvPr id="21" name="TextBox 20">
          <a:extLst>
            <a:ext uri="{FF2B5EF4-FFF2-40B4-BE49-F238E27FC236}">
              <a16:creationId xmlns:a16="http://schemas.microsoft.com/office/drawing/2014/main" id="{2B82B489-2857-4C47-9DE0-F5C7ABD5ABE5}"/>
            </a:ext>
          </a:extLst>
        </xdr:cNvPr>
        <xdr:cNvSpPr txBox="1"/>
      </xdr:nvSpPr>
      <xdr:spPr>
        <a:xfrm>
          <a:off x="1310640" y="320040"/>
          <a:ext cx="9677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Monthly</a:t>
          </a:r>
          <a:r>
            <a:rPr lang="en-IN" sz="1100" b="0" baseline="0"/>
            <a:t> Report</a:t>
          </a:r>
          <a:endParaRPr lang="en-IN" sz="1100" b="0"/>
        </a:p>
      </xdr:txBody>
    </xdr:sp>
    <xdr:clientData/>
  </xdr:twoCellAnchor>
  <xdr:twoCellAnchor editAs="absolute">
    <xdr:from>
      <xdr:col>1</xdr:col>
      <xdr:colOff>510540</xdr:colOff>
      <xdr:row>5</xdr:row>
      <xdr:rowOff>30480</xdr:rowOff>
    </xdr:from>
    <xdr:to>
      <xdr:col>3</xdr:col>
      <xdr:colOff>144780</xdr:colOff>
      <xdr:row>6</xdr:row>
      <xdr:rowOff>22860</xdr:rowOff>
    </xdr:to>
    <xdr:sp macro="" textlink="">
      <xdr:nvSpPr>
        <xdr:cNvPr id="19" name="TextBox 18">
          <a:extLst>
            <a:ext uri="{FF2B5EF4-FFF2-40B4-BE49-F238E27FC236}">
              <a16:creationId xmlns:a16="http://schemas.microsoft.com/office/drawing/2014/main" id="{F06F9491-E2EC-4E62-8D3F-4F29413EB9F9}"/>
            </a:ext>
          </a:extLst>
        </xdr:cNvPr>
        <xdr:cNvSpPr txBox="1"/>
      </xdr:nvSpPr>
      <xdr:spPr>
        <a:xfrm>
          <a:off x="1120140" y="944880"/>
          <a:ext cx="8534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t>No.</a:t>
          </a:r>
          <a:r>
            <a:rPr lang="en-IN" sz="800" b="1" baseline="0"/>
            <a:t> of Patient</a:t>
          </a:r>
          <a:endParaRPr lang="en-IN" sz="800" b="1"/>
        </a:p>
      </xdr:txBody>
    </xdr:sp>
    <xdr:clientData/>
  </xdr:twoCellAnchor>
  <xdr:twoCellAnchor editAs="absolute">
    <xdr:from>
      <xdr:col>2</xdr:col>
      <xdr:colOff>45720</xdr:colOff>
      <xdr:row>4</xdr:row>
      <xdr:rowOff>22860</xdr:rowOff>
    </xdr:from>
    <xdr:to>
      <xdr:col>2</xdr:col>
      <xdr:colOff>373380</xdr:colOff>
      <xdr:row>5</xdr:row>
      <xdr:rowOff>15240</xdr:rowOff>
    </xdr:to>
    <xdr:sp macro="" textlink="'Pivot Report'!A5">
      <xdr:nvSpPr>
        <xdr:cNvPr id="22" name="TextBox 21">
          <a:extLst>
            <a:ext uri="{FF2B5EF4-FFF2-40B4-BE49-F238E27FC236}">
              <a16:creationId xmlns:a16="http://schemas.microsoft.com/office/drawing/2014/main" id="{790FB101-F381-4DF3-928E-681E3DC29724}"/>
            </a:ext>
          </a:extLst>
        </xdr:cNvPr>
        <xdr:cNvSpPr txBox="1"/>
      </xdr:nvSpPr>
      <xdr:spPr>
        <a:xfrm>
          <a:off x="1264920" y="754380"/>
          <a:ext cx="3276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8B04726-20D8-4AFB-87CF-06FF66DB5BF7}" type="TxLink">
            <a:rPr lang="en-US" sz="1100" b="1" i="0" u="none" strike="noStrike">
              <a:solidFill>
                <a:srgbClr val="000000"/>
              </a:solidFill>
              <a:latin typeface="Calibri"/>
              <a:ea typeface="Calibri"/>
              <a:cs typeface="Calibri"/>
            </a:rPr>
            <a:pPr/>
            <a:t>513</a:t>
          </a:fld>
          <a:endParaRPr lang="en-IN" sz="1100" b="1"/>
        </a:p>
      </xdr:txBody>
    </xdr:sp>
    <xdr:clientData/>
  </xdr:twoCellAnchor>
  <xdr:twoCellAnchor editAs="absolute">
    <xdr:from>
      <xdr:col>3</xdr:col>
      <xdr:colOff>320040</xdr:colOff>
      <xdr:row>5</xdr:row>
      <xdr:rowOff>7620</xdr:rowOff>
    </xdr:from>
    <xdr:to>
      <xdr:col>5</xdr:col>
      <xdr:colOff>45720</xdr:colOff>
      <xdr:row>5</xdr:row>
      <xdr:rowOff>175260</xdr:rowOff>
    </xdr:to>
    <xdr:sp macro="" textlink="">
      <xdr:nvSpPr>
        <xdr:cNvPr id="23" name="TextBox 22">
          <a:extLst>
            <a:ext uri="{FF2B5EF4-FFF2-40B4-BE49-F238E27FC236}">
              <a16:creationId xmlns:a16="http://schemas.microsoft.com/office/drawing/2014/main" id="{5835F872-845D-4C2C-B8EA-2E20B0084758}"/>
            </a:ext>
          </a:extLst>
        </xdr:cNvPr>
        <xdr:cNvSpPr txBox="1"/>
      </xdr:nvSpPr>
      <xdr:spPr>
        <a:xfrm>
          <a:off x="2148840" y="922020"/>
          <a:ext cx="9448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t>Average</a:t>
          </a:r>
          <a:r>
            <a:rPr lang="en-IN" sz="800" b="1" baseline="0"/>
            <a:t> Wait Time</a:t>
          </a:r>
          <a:endParaRPr lang="en-IN" sz="800" b="1"/>
        </a:p>
      </xdr:txBody>
    </xdr:sp>
    <xdr:clientData/>
  </xdr:twoCellAnchor>
  <xdr:twoCellAnchor editAs="absolute">
    <xdr:from>
      <xdr:col>3</xdr:col>
      <xdr:colOff>556260</xdr:colOff>
      <xdr:row>4</xdr:row>
      <xdr:rowOff>22860</xdr:rowOff>
    </xdr:from>
    <xdr:to>
      <xdr:col>4</xdr:col>
      <xdr:colOff>274320</xdr:colOff>
      <xdr:row>5</xdr:row>
      <xdr:rowOff>15240</xdr:rowOff>
    </xdr:to>
    <xdr:sp macro="" textlink="'Pivot Report'!A10">
      <xdr:nvSpPr>
        <xdr:cNvPr id="24" name="TextBox 23">
          <a:extLst>
            <a:ext uri="{FF2B5EF4-FFF2-40B4-BE49-F238E27FC236}">
              <a16:creationId xmlns:a16="http://schemas.microsoft.com/office/drawing/2014/main" id="{86044766-C1F4-44CA-BD17-5A1C40F7BDE2}"/>
            </a:ext>
          </a:extLst>
        </xdr:cNvPr>
        <xdr:cNvSpPr txBox="1"/>
      </xdr:nvSpPr>
      <xdr:spPr>
        <a:xfrm>
          <a:off x="2385060" y="754380"/>
          <a:ext cx="3276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6D24005-3BC6-4EE0-88D4-62B008086362}" type="TxLink">
            <a:rPr lang="en-US" sz="1100" b="1" i="0" u="none" strike="noStrike">
              <a:solidFill>
                <a:srgbClr val="000000"/>
              </a:solidFill>
              <a:latin typeface="Calibri"/>
              <a:ea typeface="Calibri"/>
              <a:cs typeface="Calibri"/>
            </a:rPr>
            <a:pPr/>
            <a:t>36.32</a:t>
          </a:fld>
          <a:endParaRPr lang="en-IN" sz="1100" b="1"/>
        </a:p>
      </xdr:txBody>
    </xdr:sp>
    <xdr:clientData/>
  </xdr:twoCellAnchor>
  <xdr:twoCellAnchor editAs="absolute">
    <xdr:from>
      <xdr:col>5</xdr:col>
      <xdr:colOff>190500</xdr:colOff>
      <xdr:row>5</xdr:row>
      <xdr:rowOff>7620</xdr:rowOff>
    </xdr:from>
    <xdr:to>
      <xdr:col>7</xdr:col>
      <xdr:colOff>106680</xdr:colOff>
      <xdr:row>6</xdr:row>
      <xdr:rowOff>137160</xdr:rowOff>
    </xdr:to>
    <xdr:sp macro="" textlink="">
      <xdr:nvSpPr>
        <xdr:cNvPr id="25" name="TextBox 24">
          <a:extLst>
            <a:ext uri="{FF2B5EF4-FFF2-40B4-BE49-F238E27FC236}">
              <a16:creationId xmlns:a16="http://schemas.microsoft.com/office/drawing/2014/main" id="{939FD096-ADB0-4AA0-B1A9-C9DE172494A1}"/>
            </a:ext>
          </a:extLst>
        </xdr:cNvPr>
        <xdr:cNvSpPr txBox="1"/>
      </xdr:nvSpPr>
      <xdr:spPr>
        <a:xfrm>
          <a:off x="3238500" y="922020"/>
          <a:ext cx="1135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t>Patient</a:t>
          </a:r>
          <a:r>
            <a:rPr lang="en-IN" sz="800" b="1" baseline="0"/>
            <a:t> Satisfaction Score</a:t>
          </a:r>
          <a:endParaRPr lang="en-IN" sz="800" b="1"/>
        </a:p>
      </xdr:txBody>
    </xdr:sp>
    <xdr:clientData/>
  </xdr:twoCellAnchor>
  <xdr:twoCellAnchor editAs="absolute">
    <xdr:from>
      <xdr:col>5</xdr:col>
      <xdr:colOff>525780</xdr:colOff>
      <xdr:row>4</xdr:row>
      <xdr:rowOff>22860</xdr:rowOff>
    </xdr:from>
    <xdr:to>
      <xdr:col>6</xdr:col>
      <xdr:colOff>243840</xdr:colOff>
      <xdr:row>5</xdr:row>
      <xdr:rowOff>15240</xdr:rowOff>
    </xdr:to>
    <xdr:sp macro="" textlink="'Pivot Report'!A16">
      <xdr:nvSpPr>
        <xdr:cNvPr id="26" name="TextBox 25">
          <a:extLst>
            <a:ext uri="{FF2B5EF4-FFF2-40B4-BE49-F238E27FC236}">
              <a16:creationId xmlns:a16="http://schemas.microsoft.com/office/drawing/2014/main" id="{08D88DD9-8815-4AA7-ABEA-C5CAB62C751E}"/>
            </a:ext>
          </a:extLst>
        </xdr:cNvPr>
        <xdr:cNvSpPr txBox="1"/>
      </xdr:nvSpPr>
      <xdr:spPr>
        <a:xfrm>
          <a:off x="3573780" y="754380"/>
          <a:ext cx="3276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C162D3D-5A95-4C2D-B14B-81435A3C738A}" type="TxLink">
            <a:rPr lang="en-US" sz="1100" b="1" i="0" u="none" strike="noStrike">
              <a:solidFill>
                <a:srgbClr val="000000"/>
              </a:solidFill>
              <a:latin typeface="Calibri"/>
              <a:ea typeface="Calibri"/>
              <a:cs typeface="Calibri"/>
            </a:rPr>
            <a:pPr/>
            <a:t>4.96</a:t>
          </a:fld>
          <a:endParaRPr lang="en-IN" sz="1100" b="1"/>
        </a:p>
      </xdr:txBody>
    </xdr:sp>
    <xdr:clientData/>
  </xdr:twoCellAnchor>
  <xdr:twoCellAnchor editAs="oneCell">
    <xdr:from>
      <xdr:col>2</xdr:col>
      <xdr:colOff>472440</xdr:colOff>
      <xdr:row>3</xdr:row>
      <xdr:rowOff>121920</xdr:rowOff>
    </xdr:from>
    <xdr:to>
      <xdr:col>3</xdr:col>
      <xdr:colOff>91440</xdr:colOff>
      <xdr:row>4</xdr:row>
      <xdr:rowOff>167640</xdr:rowOff>
    </xdr:to>
    <xdr:pic>
      <xdr:nvPicPr>
        <xdr:cNvPr id="4" name="Graphic 3" descr="Male profile with solid fill">
          <a:extLst>
            <a:ext uri="{FF2B5EF4-FFF2-40B4-BE49-F238E27FC236}">
              <a16:creationId xmlns:a16="http://schemas.microsoft.com/office/drawing/2014/main" id="{B96AA6D8-FD70-42C3-BA62-EBD9ACC4EE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91640" y="670560"/>
          <a:ext cx="228600" cy="228600"/>
        </a:xfrm>
        <a:prstGeom prst="rect">
          <a:avLst/>
        </a:prstGeom>
      </xdr:spPr>
    </xdr:pic>
    <xdr:clientData/>
  </xdr:twoCellAnchor>
  <xdr:twoCellAnchor editAs="oneCell">
    <xdr:from>
      <xdr:col>6</xdr:col>
      <xdr:colOff>327660</xdr:colOff>
      <xdr:row>3</xdr:row>
      <xdr:rowOff>106680</xdr:rowOff>
    </xdr:from>
    <xdr:to>
      <xdr:col>6</xdr:col>
      <xdr:colOff>594360</xdr:colOff>
      <xdr:row>5</xdr:row>
      <xdr:rowOff>7620</xdr:rowOff>
    </xdr:to>
    <xdr:pic>
      <xdr:nvPicPr>
        <xdr:cNvPr id="9" name="Graphic 8" descr="Customer review with solid fill">
          <a:extLst>
            <a:ext uri="{FF2B5EF4-FFF2-40B4-BE49-F238E27FC236}">
              <a16:creationId xmlns:a16="http://schemas.microsoft.com/office/drawing/2014/main" id="{DE862160-7120-4B5C-874C-E7AF6BE47E9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985260" y="655320"/>
          <a:ext cx="266700" cy="266700"/>
        </a:xfrm>
        <a:prstGeom prst="rect">
          <a:avLst/>
        </a:prstGeom>
      </xdr:spPr>
    </xdr:pic>
    <xdr:clientData/>
  </xdr:twoCellAnchor>
  <xdr:twoCellAnchor editAs="oneCell">
    <xdr:from>
      <xdr:col>4</xdr:col>
      <xdr:colOff>457200</xdr:colOff>
      <xdr:row>3</xdr:row>
      <xdr:rowOff>152400</xdr:rowOff>
    </xdr:from>
    <xdr:to>
      <xdr:col>5</xdr:col>
      <xdr:colOff>60960</xdr:colOff>
      <xdr:row>5</xdr:row>
      <xdr:rowOff>0</xdr:rowOff>
    </xdr:to>
    <xdr:pic>
      <xdr:nvPicPr>
        <xdr:cNvPr id="27" name="Graphic 26" descr="Hourglass Finished with solid fill">
          <a:extLst>
            <a:ext uri="{FF2B5EF4-FFF2-40B4-BE49-F238E27FC236}">
              <a16:creationId xmlns:a16="http://schemas.microsoft.com/office/drawing/2014/main" id="{FB0922D6-D39C-4E3E-9827-E04E2DBEF6E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95600" y="701040"/>
          <a:ext cx="213360" cy="213360"/>
        </a:xfrm>
        <a:prstGeom prst="rect">
          <a:avLst/>
        </a:prstGeom>
      </xdr:spPr>
    </xdr:pic>
    <xdr:clientData/>
  </xdr:twoCellAnchor>
  <xdr:twoCellAnchor editAs="oneCell">
    <xdr:from>
      <xdr:col>0</xdr:col>
      <xdr:colOff>114300</xdr:colOff>
      <xdr:row>3</xdr:row>
      <xdr:rowOff>91440</xdr:rowOff>
    </xdr:from>
    <xdr:to>
      <xdr:col>1</xdr:col>
      <xdr:colOff>245700</xdr:colOff>
      <xdr:row>16</xdr:row>
      <xdr:rowOff>7619</xdr:rowOff>
    </xdr:to>
    <mc:AlternateContent xmlns:mc="http://schemas.openxmlformats.org/markup-compatibility/2006" xmlns:a14="http://schemas.microsoft.com/office/drawing/2010/main">
      <mc:Choice Requires="a14">
        <xdr:graphicFrame macro="">
          <xdr:nvGraphicFramePr>
            <xdr:cNvPr id="31" name="Date (Month)">
              <a:extLst>
                <a:ext uri="{FF2B5EF4-FFF2-40B4-BE49-F238E27FC236}">
                  <a16:creationId xmlns:a16="http://schemas.microsoft.com/office/drawing/2014/main" id="{F9C8E042-6274-45FF-A1F6-5D045E739D5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4300" y="640080"/>
              <a:ext cx="741000" cy="2293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152400</xdr:colOff>
      <xdr:row>5</xdr:row>
      <xdr:rowOff>106680</xdr:rowOff>
    </xdr:from>
    <xdr:to>
      <xdr:col>3</xdr:col>
      <xdr:colOff>266700</xdr:colOff>
      <xdr:row>8</xdr:row>
      <xdr:rowOff>30480</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1A2105B9-F76D-412D-927D-2CECD5137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152400</xdr:colOff>
      <xdr:row>6</xdr:row>
      <xdr:rowOff>83820</xdr:rowOff>
    </xdr:from>
    <xdr:to>
      <xdr:col>5</xdr:col>
      <xdr:colOff>91440</xdr:colOff>
      <xdr:row>7</xdr:row>
      <xdr:rowOff>91440</xdr:rowOff>
    </xdr:to>
    <xdr:graphicFrame macro="">
      <xdr:nvGraphicFramePr>
        <xdr:cNvPr id="34" name="Chart 33">
          <a:hlinkClick xmlns:r="http://schemas.openxmlformats.org/officeDocument/2006/relationships" r:id="rId10"/>
          <a:extLst>
            <a:ext uri="{FF2B5EF4-FFF2-40B4-BE49-F238E27FC236}">
              <a16:creationId xmlns:a16="http://schemas.microsoft.com/office/drawing/2014/main" id="{B24B2B12-1DD2-41CE-859C-E474C75D9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114300</xdr:colOff>
      <xdr:row>4</xdr:row>
      <xdr:rowOff>160020</xdr:rowOff>
    </xdr:from>
    <xdr:to>
      <xdr:col>7</xdr:col>
      <xdr:colOff>68580</xdr:colOff>
      <xdr:row>7</xdr:row>
      <xdr:rowOff>106680</xdr:rowOff>
    </xdr:to>
    <xdr:graphicFrame macro="">
      <xdr:nvGraphicFramePr>
        <xdr:cNvPr id="29" name="Chart 28">
          <a:hlinkClick xmlns:r="http://schemas.openxmlformats.org/officeDocument/2006/relationships" r:id="rId12"/>
          <a:extLst>
            <a:ext uri="{FF2B5EF4-FFF2-40B4-BE49-F238E27FC236}">
              <a16:creationId xmlns:a16="http://schemas.microsoft.com/office/drawing/2014/main" id="{9F09635D-C02F-45A2-92B0-4B04242A7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309563</xdr:colOff>
          <xdr:row>7</xdr:row>
          <xdr:rowOff>114301</xdr:rowOff>
        </xdr:from>
        <xdr:to>
          <xdr:col>6</xdr:col>
          <xdr:colOff>95250</xdr:colOff>
          <xdr:row>9</xdr:row>
          <xdr:rowOff>152401</xdr:rowOff>
        </xdr:to>
        <xdr:pic>
          <xdr:nvPicPr>
            <xdr:cNvPr id="40" name="Picture 39">
              <a:extLst>
                <a:ext uri="{FF2B5EF4-FFF2-40B4-BE49-F238E27FC236}">
                  <a16:creationId xmlns:a16="http://schemas.microsoft.com/office/drawing/2014/main" id="{43F50036-A3AC-48BC-A91F-EF52F59DCAE1}"/>
                </a:ext>
              </a:extLst>
            </xdr:cNvPr>
            <xdr:cNvPicPr>
              <a:picLocks noChangeAspect="1" noChangeArrowheads="1"/>
              <a:extLst>
                <a:ext uri="{84589F7E-364E-4C9E-8A38-B11213B215E9}">
                  <a14:cameraTool cellRange="'Pivot Report'!$A$48:$F$50" spid="_x0000_s1036"/>
                </a:ext>
              </a:extLst>
            </xdr:cNvPicPr>
          </xdr:nvPicPr>
          <xdr:blipFill>
            <a:blip xmlns:r="http://schemas.openxmlformats.org/officeDocument/2006/relationships" r:embed="rId14"/>
            <a:srcRect/>
            <a:stretch>
              <a:fillRect/>
            </a:stretch>
          </xdr:blipFill>
          <xdr:spPr bwMode="auto">
            <a:xfrm>
              <a:off x="919163" y="1381126"/>
              <a:ext cx="2833687" cy="4000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304800</xdr:colOff>
      <xdr:row>9</xdr:row>
      <xdr:rowOff>142875</xdr:rowOff>
    </xdr:from>
    <xdr:to>
      <xdr:col>7</xdr:col>
      <xdr:colOff>161925</xdr:colOff>
      <xdr:row>14</xdr:row>
      <xdr:rowOff>176213</xdr:rowOff>
    </xdr:to>
    <xdr:graphicFrame macro="">
      <xdr:nvGraphicFramePr>
        <xdr:cNvPr id="41" name="Chart 40">
          <a:extLst>
            <a:ext uri="{FF2B5EF4-FFF2-40B4-BE49-F238E27FC236}">
              <a16:creationId xmlns:a16="http://schemas.microsoft.com/office/drawing/2014/main" id="{BF8D3EB9-2564-403E-B1E5-2482C588F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328612</xdr:colOff>
      <xdr:row>15</xdr:row>
      <xdr:rowOff>18097</xdr:rowOff>
    </xdr:from>
    <xdr:to>
      <xdr:col>5</xdr:col>
      <xdr:colOff>352425</xdr:colOff>
      <xdr:row>16</xdr:row>
      <xdr:rowOff>4762</xdr:rowOff>
    </xdr:to>
    <xdr:sp macro="" textlink="">
      <xdr:nvSpPr>
        <xdr:cNvPr id="42" name="TextBox 41">
          <a:extLst>
            <a:ext uri="{FF2B5EF4-FFF2-40B4-BE49-F238E27FC236}">
              <a16:creationId xmlns:a16="http://schemas.microsoft.com/office/drawing/2014/main" id="{8BFCC6D7-72DD-4D04-83DA-A1E6127F1452}"/>
            </a:ext>
          </a:extLst>
        </xdr:cNvPr>
        <xdr:cNvSpPr txBox="1"/>
      </xdr:nvSpPr>
      <xdr:spPr>
        <a:xfrm>
          <a:off x="2157412" y="2732722"/>
          <a:ext cx="1243013"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a:t>No.</a:t>
          </a:r>
          <a:r>
            <a:rPr lang="en-IN" sz="800" b="0" baseline="0"/>
            <a:t> of Patient by age group</a:t>
          </a:r>
          <a:endParaRPr lang="en-IN" sz="800" b="0"/>
        </a:p>
      </xdr:txBody>
    </xdr:sp>
    <xdr:clientData/>
  </xdr:twoCellAnchor>
  <xdr:twoCellAnchor>
    <xdr:from>
      <xdr:col>7</xdr:col>
      <xdr:colOff>152400</xdr:colOff>
      <xdr:row>0</xdr:row>
      <xdr:rowOff>61913</xdr:rowOff>
    </xdr:from>
    <xdr:to>
      <xdr:col>9</xdr:col>
      <xdr:colOff>204788</xdr:colOff>
      <xdr:row>5</xdr:row>
      <xdr:rowOff>85726</xdr:rowOff>
    </xdr:to>
    <xdr:graphicFrame macro="">
      <xdr:nvGraphicFramePr>
        <xdr:cNvPr id="43" name="Chart 42">
          <a:extLst>
            <a:ext uri="{FF2B5EF4-FFF2-40B4-BE49-F238E27FC236}">
              <a16:creationId xmlns:a16="http://schemas.microsoft.com/office/drawing/2014/main" id="{52BC4833-C1D6-4A77-AB3D-352500DFB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373380</xdr:colOff>
      <xdr:row>5</xdr:row>
      <xdr:rowOff>124777</xdr:rowOff>
    </xdr:from>
    <xdr:to>
      <xdr:col>9</xdr:col>
      <xdr:colOff>157163</xdr:colOff>
      <xdr:row>6</xdr:row>
      <xdr:rowOff>111442</xdr:rowOff>
    </xdr:to>
    <xdr:sp macro="" textlink="">
      <xdr:nvSpPr>
        <xdr:cNvPr id="44" name="TextBox 43">
          <a:extLst>
            <a:ext uri="{FF2B5EF4-FFF2-40B4-BE49-F238E27FC236}">
              <a16:creationId xmlns:a16="http://schemas.microsoft.com/office/drawing/2014/main" id="{ECA32143-E719-4BA8-BA25-08EF733DC8E5}"/>
            </a:ext>
          </a:extLst>
        </xdr:cNvPr>
        <xdr:cNvSpPr txBox="1"/>
      </xdr:nvSpPr>
      <xdr:spPr>
        <a:xfrm>
          <a:off x="4640580" y="1029652"/>
          <a:ext cx="1002983"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a:t>Patient</a:t>
          </a:r>
          <a:r>
            <a:rPr lang="en-IN" sz="800" b="0" baseline="0"/>
            <a:t> Attend Status</a:t>
          </a:r>
          <a:endParaRPr lang="en-IN" sz="800" b="0"/>
        </a:p>
      </xdr:txBody>
    </xdr:sp>
    <xdr:clientData/>
  </xdr:twoCellAnchor>
  <xdr:twoCellAnchor>
    <xdr:from>
      <xdr:col>9</xdr:col>
      <xdr:colOff>289562</xdr:colOff>
      <xdr:row>0</xdr:row>
      <xdr:rowOff>53341</xdr:rowOff>
    </xdr:from>
    <xdr:to>
      <xdr:col>11</xdr:col>
      <xdr:colOff>271464</xdr:colOff>
      <xdr:row>5</xdr:row>
      <xdr:rowOff>42864</xdr:rowOff>
    </xdr:to>
    <xdr:graphicFrame macro="">
      <xdr:nvGraphicFramePr>
        <xdr:cNvPr id="45" name="Chart 44">
          <a:extLst>
            <a:ext uri="{FF2B5EF4-FFF2-40B4-BE49-F238E27FC236}">
              <a16:creationId xmlns:a16="http://schemas.microsoft.com/office/drawing/2014/main" id="{98F9C5AE-D36D-4B83-BB98-33D97A6A1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425768</xdr:colOff>
      <xdr:row>5</xdr:row>
      <xdr:rowOff>113347</xdr:rowOff>
    </xdr:from>
    <xdr:to>
      <xdr:col>11</xdr:col>
      <xdr:colOff>114301</xdr:colOff>
      <xdr:row>6</xdr:row>
      <xdr:rowOff>109537</xdr:rowOff>
    </xdr:to>
    <xdr:sp macro="" textlink="">
      <xdr:nvSpPr>
        <xdr:cNvPr id="47" name="TextBox 46">
          <a:extLst>
            <a:ext uri="{FF2B5EF4-FFF2-40B4-BE49-F238E27FC236}">
              <a16:creationId xmlns:a16="http://schemas.microsoft.com/office/drawing/2014/main" id="{B036E39A-308C-446C-9FFB-DFFACA89573B}"/>
            </a:ext>
          </a:extLst>
        </xdr:cNvPr>
        <xdr:cNvSpPr txBox="1"/>
      </xdr:nvSpPr>
      <xdr:spPr>
        <a:xfrm>
          <a:off x="5912168" y="1018222"/>
          <a:ext cx="907733" cy="177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a:t>Gender</a:t>
          </a:r>
          <a:r>
            <a:rPr lang="en-IN" sz="800" b="0" baseline="0"/>
            <a:t> wise Analysis</a:t>
          </a:r>
          <a:endParaRPr lang="en-IN" sz="800" b="0"/>
        </a:p>
      </xdr:txBody>
    </xdr:sp>
    <xdr:clientData/>
  </xdr:twoCellAnchor>
  <xdr:twoCellAnchor>
    <xdr:from>
      <xdr:col>7</xdr:col>
      <xdr:colOff>144780</xdr:colOff>
      <xdr:row>7</xdr:row>
      <xdr:rowOff>38100</xdr:rowOff>
    </xdr:from>
    <xdr:to>
      <xdr:col>11</xdr:col>
      <xdr:colOff>290513</xdr:colOff>
      <xdr:row>14</xdr:row>
      <xdr:rowOff>38100</xdr:rowOff>
    </xdr:to>
    <xdr:graphicFrame macro="">
      <xdr:nvGraphicFramePr>
        <xdr:cNvPr id="48" name="Chart 47">
          <a:extLst>
            <a:ext uri="{FF2B5EF4-FFF2-40B4-BE49-F238E27FC236}">
              <a16:creationId xmlns:a16="http://schemas.microsoft.com/office/drawing/2014/main" id="{FECF1057-0AEB-4F88-89AF-45F0FFFF5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606742</xdr:colOff>
      <xdr:row>14</xdr:row>
      <xdr:rowOff>80963</xdr:rowOff>
    </xdr:from>
    <xdr:to>
      <xdr:col>10</xdr:col>
      <xdr:colOff>438150</xdr:colOff>
      <xdr:row>15</xdr:row>
      <xdr:rowOff>95251</xdr:rowOff>
    </xdr:to>
    <xdr:sp macro="" textlink="">
      <xdr:nvSpPr>
        <xdr:cNvPr id="49" name="TextBox 48">
          <a:extLst>
            <a:ext uri="{FF2B5EF4-FFF2-40B4-BE49-F238E27FC236}">
              <a16:creationId xmlns:a16="http://schemas.microsoft.com/office/drawing/2014/main" id="{0E6212E3-9E74-4620-A6D7-4071EB2C0C6F}"/>
            </a:ext>
          </a:extLst>
        </xdr:cNvPr>
        <xdr:cNvSpPr txBox="1"/>
      </xdr:nvSpPr>
      <xdr:spPr>
        <a:xfrm>
          <a:off x="4873942" y="2614613"/>
          <a:ext cx="1660208" cy="195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a:t>No.</a:t>
          </a:r>
          <a:r>
            <a:rPr lang="en-IN" sz="800" b="0" baseline="0"/>
            <a:t> of Patient by Department Referal</a:t>
          </a:r>
          <a:endParaRPr lang="en-IN" sz="800" b="0"/>
        </a:p>
      </xdr:txBody>
    </xdr:sp>
    <xdr:clientData/>
  </xdr:twoCellAnchor>
  <xdr:twoCellAnchor editAs="oneCell">
    <xdr:from>
      <xdr:col>5</xdr:col>
      <xdr:colOff>395288</xdr:colOff>
      <xdr:row>0</xdr:row>
      <xdr:rowOff>47626</xdr:rowOff>
    </xdr:from>
    <xdr:to>
      <xdr:col>7</xdr:col>
      <xdr:colOff>80963</xdr:colOff>
      <xdr:row>3</xdr:row>
      <xdr:rowOff>33339</xdr:rowOff>
    </xdr:to>
    <mc:AlternateContent xmlns:mc="http://schemas.openxmlformats.org/markup-compatibility/2006">
      <mc:Choice xmlns:a14="http://schemas.microsoft.com/office/drawing/2010/main" Requires="a14">
        <xdr:graphicFrame macro="">
          <xdr:nvGraphicFramePr>
            <xdr:cNvPr id="50" name="Date (Year)">
              <a:extLst>
                <a:ext uri="{FF2B5EF4-FFF2-40B4-BE49-F238E27FC236}">
                  <a16:creationId xmlns:a16="http://schemas.microsoft.com/office/drawing/2014/main" id="{720B8ACE-EC7C-4416-8AFC-FAD16861659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43288" y="47626"/>
              <a:ext cx="904875" cy="528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2</xdr:row>
      <xdr:rowOff>38100</xdr:rowOff>
    </xdr:from>
    <xdr:to>
      <xdr:col>16</xdr:col>
      <xdr:colOff>205740</xdr:colOff>
      <xdr:row>26</xdr:row>
      <xdr:rowOff>53340</xdr:rowOff>
    </xdr:to>
    <xdr:graphicFrame macro="">
      <xdr:nvGraphicFramePr>
        <xdr:cNvPr id="2" name="Chart 1">
          <a:extLst>
            <a:ext uri="{FF2B5EF4-FFF2-40B4-BE49-F238E27FC236}">
              <a16:creationId xmlns:a16="http://schemas.microsoft.com/office/drawing/2014/main" id="{91BBAC46-136B-4110-BBF0-71A4DDE43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0.00802</cdr:x>
      <cdr:y>0.00519</cdr:y>
    </cdr:from>
    <cdr:to>
      <cdr:x>0.05437</cdr:x>
      <cdr:y>0.09516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85AE918-C45E-4EDC-B1D1-1659EDC64B5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8580" y="22860"/>
          <a:ext cx="396240" cy="3962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365760</xdr:colOff>
      <xdr:row>3</xdr:row>
      <xdr:rowOff>99060</xdr:rowOff>
    </xdr:from>
    <xdr:to>
      <xdr:col>14</xdr:col>
      <xdr:colOff>571500</xdr:colOff>
      <xdr:row>21</xdr:row>
      <xdr:rowOff>152400</xdr:rowOff>
    </xdr:to>
    <xdr:graphicFrame macro="">
      <xdr:nvGraphicFramePr>
        <xdr:cNvPr id="2" name="Chart 1">
          <a:extLst>
            <a:ext uri="{FF2B5EF4-FFF2-40B4-BE49-F238E27FC236}">
              <a16:creationId xmlns:a16="http://schemas.microsoft.com/office/drawing/2014/main" id="{A7732DBF-DAFE-40E0-93EF-E2658C20F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457200</xdr:colOff>
      <xdr:row>4</xdr:row>
      <xdr:rowOff>30480</xdr:rowOff>
    </xdr:from>
    <xdr:to>
      <xdr:col>2</xdr:col>
      <xdr:colOff>182880</xdr:colOff>
      <xdr:row>5</xdr:row>
      <xdr:rowOff>182866</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91019351-8AE7-46E1-BB72-DEC495A8A2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66800" y="762000"/>
          <a:ext cx="335280" cy="3352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457200</xdr:colOff>
      <xdr:row>4</xdr:row>
      <xdr:rowOff>30480</xdr:rowOff>
    </xdr:from>
    <xdr:to>
      <xdr:col>2</xdr:col>
      <xdr:colOff>182880</xdr:colOff>
      <xdr:row>5</xdr:row>
      <xdr:rowOff>182866</xdr:rowOff>
    </xdr:to>
    <xdr:pic>
      <xdr:nvPicPr>
        <xdr:cNvPr id="3" name="Graphic 1" descr="Home with solid fill">
          <a:hlinkClick xmlns:r="http://schemas.openxmlformats.org/officeDocument/2006/relationships" r:id="rId1"/>
          <a:extLst>
            <a:ext uri="{FF2B5EF4-FFF2-40B4-BE49-F238E27FC236}">
              <a16:creationId xmlns:a16="http://schemas.microsoft.com/office/drawing/2014/main" id="{B8893842-257C-4F86-871B-E6966F9715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66800" y="762000"/>
          <a:ext cx="335280" cy="335266"/>
        </a:xfrm>
        <a:prstGeom prst="rect">
          <a:avLst/>
        </a:prstGeom>
      </xdr:spPr>
    </xdr:pic>
    <xdr:clientData/>
  </xdr:twoCellAnchor>
  <xdr:twoCellAnchor>
    <xdr:from>
      <xdr:col>0</xdr:col>
      <xdr:colOff>419100</xdr:colOff>
      <xdr:row>1</xdr:row>
      <xdr:rowOff>121920</xdr:rowOff>
    </xdr:from>
    <xdr:to>
      <xdr:col>11</xdr:col>
      <xdr:colOff>388620</xdr:colOff>
      <xdr:row>22</xdr:row>
      <xdr:rowOff>83820</xdr:rowOff>
    </xdr:to>
    <xdr:graphicFrame macro="">
      <xdr:nvGraphicFramePr>
        <xdr:cNvPr id="4" name="Chart 3">
          <a:extLst>
            <a:ext uri="{FF2B5EF4-FFF2-40B4-BE49-F238E27FC236}">
              <a16:creationId xmlns:a16="http://schemas.microsoft.com/office/drawing/2014/main" id="{9C658F54-0CF4-4590-BDFA-F2EAA8444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0.0156</cdr:x>
      <cdr:y>0.02939</cdr:y>
    </cdr:from>
    <cdr:to>
      <cdr:x>0.06583</cdr:x>
      <cdr:y>0.11756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1019351-8AE7-46E1-BB72-DEC495A8A24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4140" y="111760"/>
          <a:ext cx="335280" cy="33526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8854167" createdVersion="5" refreshedVersion="7" minRefreshableVersion="3" recordCount="0" supportSubquery="1" supportAdvancedDrill="1" xr:uid="{88F76379-6B0F-4C04-B7E4-CB677BD68C4C}">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88773147" createdVersion="5" refreshedVersion="7" minRefreshableVersion="3" recordCount="0" supportSubquery="1" supportAdvancedDrill="1" xr:uid="{9F576805-03F9-4172-9E48-B6CD3DD6FBA1}">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88888886" createdVersion="5" refreshedVersion="7" minRefreshableVersion="3" recordCount="0" supportSubquery="1" supportAdvancedDrill="1" xr:uid="{A528F99A-24AF-4821-8ECC-A8483B8B813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8912037" createdVersion="5" refreshedVersion="7" minRefreshableVersion="3" recordCount="0" supportSubquery="1" supportAdvancedDrill="1" xr:uid="{2C3B2175-A6FD-4BD8-937C-01780CFDBC8B}">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89583332" createdVersion="5" refreshedVersion="7" minRefreshableVersion="3" recordCount="0" supportSubquery="1" supportAdvancedDrill="1" xr:uid="{41A8F4D9-A025-4A15-93E1-E2869232FFDA}">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9016204" createdVersion="5" refreshedVersion="7" minRefreshableVersion="3" recordCount="0" supportSubquery="1" supportAdvancedDrill="1" xr:uid="{9F78301B-FC6C-4E77-A0A4-B5A50E73E69A}">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90740741" createdVersion="5" refreshedVersion="7" minRefreshableVersion="3" recordCount="0" supportSubquery="1" supportAdvancedDrill="1" xr:uid="{50CDEAC5-E98B-461E-BCB2-D0D7FD30B792}">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91087964" createdVersion="5" refreshedVersion="7" minRefreshableVersion="3" recordCount="0" supportSubquery="1" supportAdvancedDrill="1" xr:uid="{4CDCE5A5-0F9E-4DFF-BFF6-9E5582C31134}">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91435187" createdVersion="5" refreshedVersion="7" minRefreshableVersion="3" recordCount="0" supportSubquery="1" supportAdvancedDrill="1" xr:uid="{AD643945-5FE8-47B6-B8B3-88D9593C9EE5}">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91898149" createdVersion="5" refreshedVersion="7" minRefreshableVersion="3" recordCount="0" supportSubquery="1" supportAdvancedDrill="1" xr:uid="{3B4B03D3-13B0-4696-A8AF-67B5320CB8D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92245372" createdVersion="5" refreshedVersion="7" minRefreshableVersion="3" recordCount="0" supportSubquery="1" supportAdvancedDrill="1" xr:uid="{59EA1299-3892-4C9F-985E-9AB5DF8C5E22}">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71392592596" createdVersion="5" refreshedVersion="7" minRefreshableVersion="3" recordCount="0" supportSubquery="1" supportAdvancedDrill="1" xr:uid="{297814C7-9C0F-4AF5-A779-4A85BDAD5819}">
  <cacheSource type="external" connectionId="3"/>
  <cacheFields count="4">
    <cacheField name="[Calender_Table].[Date (Month)].[Date (Month)]" caption="Date (Month)" numFmtId="0" hierarchy="1" level="1">
      <sharedItems containsNonDate="0" count="1">
        <s v="Jul"/>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ntainsNonDate="0" count="1">
        <s v="Qtr3"/>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Nautiyal" refreshedDate="46147.059550231483" createdVersion="3" refreshedVersion="7" minRefreshableVersion="3" recordCount="0" supportSubquery="1" supportAdvancedDrill="1" xr:uid="{CC52AE29-3CD4-424B-86C5-304530B2313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233218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63E01A-BDCD-4C0C-88ED-8890E6D9DF5A}" name="PivotTable13" cacheId="797" applyNumberFormats="0" applyBorderFormats="0" applyFontFormats="0" applyPatternFormats="0" applyAlignmentFormats="0" applyWidthHeightFormats="1" dataCaption="Values" tag="c73b34ee-cc52-45a3-8954-ff46286cf298" updatedVersion="7" minRefreshableVersion="3" subtotalHiddenItems="1" itemPrintTitles="1" createdVersion="5" indent="0" outline="1" outlineData="1" multipleFieldFilters="0" chartFormat="16">
  <location ref="A98:A10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3">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D61BFE-BC54-40C8-B3A8-335185908F6A}" name="PivotTable11" cacheId="794" applyNumberFormats="0" applyBorderFormats="0" applyFontFormats="0" applyPatternFormats="0" applyAlignmentFormats="0" applyWidthHeightFormats="1" dataCaption="Values" tag="6034d31a-14e7-42ea-a0f9-6322d509e3fc" updatedVersion="7" minRefreshableVersion="3" subtotalHiddenItems="1" itemPrintTitles="1" createdVersion="5" indent="0" outline="1" outlineData="1" multipleFieldFilters="0" chartFormat="16">
  <location ref="A84:B9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153">
      <pivotArea outline="0" collapsedLevelsAreSubtotals="1" fieldPosition="0"/>
    </format>
    <format dxfId="154">
      <pivotArea collapsedLevelsAreSubtotals="1" fieldPosition="0">
        <references count="1">
          <reference field="1"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0F798-1AF6-419A-A04A-8E8CE50BA2F5}" name="PivotTable10" cacheId="791" applyNumberFormats="0" applyBorderFormats="0" applyFontFormats="0" applyPatternFormats="0" applyAlignmentFormats="0" applyWidthHeightFormats="1" dataCaption="Values" tag="c8fd3858-07a3-410f-96d7-c4cc8e568b99" updatedVersion="7" minRefreshableVersion="3" subtotalHiddenItems="1" itemPrintTitles="1" createdVersion="5" indent="0" outline="1" outlineData="1" multipleFieldFilters="0" chartFormat="13">
  <location ref="B74:C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55">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B81678-4BD8-4632-8659-2D9E820BC044}" name="PivotTable9" cacheId="788" applyNumberFormats="0" applyBorderFormats="0" applyFontFormats="0" applyPatternFormats="0" applyAlignmentFormats="0" applyWidthHeightFormats="1" dataCaption="Values" tag="2495c5c6-13d0-4d6d-b0f2-1903c1557f3d" updatedVersion="7" minRefreshableVersion="3" subtotalHiddenItems="1" itemPrintTitles="1" createdVersion="5" indent="0" outline="1" outlineData="1" multipleFieldFilters="0" chartFormat="9">
  <location ref="B66:C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57">
      <pivotArea outline="0" collapsedLevelsAreSubtotals="1" fieldPosition="0"/>
    </format>
    <format dxfId="156">
      <pivotArea collapsedLevelsAreSubtotals="1" fieldPosition="0">
        <references count="1">
          <reference field="1" count="0"/>
        </references>
      </pivotArea>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CCE9D5-4B17-41B1-922F-3BEF85C96B64}" name="PivotTable8" cacheId="785" applyNumberFormats="0" applyBorderFormats="0" applyFontFormats="0" applyPatternFormats="0" applyAlignmentFormats="0" applyWidthHeightFormats="1" dataCaption="Values" tag="4d076ae8-d955-4198-81ab-cb96066f8b15" updatedVersion="7" minRefreshableVersion="3" subtotalHiddenItems="1" itemPrintTitles="1" createdVersion="5" indent="0" outline="1" outlineData="1" multipleFieldFilters="0" chartFormat="4">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59">
      <pivotArea outline="0" collapsedLevelsAreSubtotals="1" fieldPosition="0"/>
    </format>
    <format dxfId="158">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BE4C43-7C5A-4B52-AA12-6744B689415C}" name="PivotTable7" cacheId="782" applyNumberFormats="0" applyBorderFormats="0" applyFontFormats="0" applyPatternFormats="0" applyAlignmentFormats="0" applyWidthHeightFormats="1" dataCaption="Values" tag="a512dc7a-0ffe-40eb-ac39-5838fb23f7d3" updatedVersion="7" minRefreshableVersion="3" subtotalHiddenItems="1"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63">
      <pivotArea outline="0" collapsedLevelsAreSubtotals="1" fieldPosition="0"/>
    </format>
    <format dxfId="162">
      <pivotArea collapsedLevelsAreSubtotals="1" fieldPosition="0">
        <references count="1">
          <reference field="1" count="0"/>
        </references>
      </pivotArea>
    </format>
    <format dxfId="161">
      <pivotArea outline="0" fieldPosition="0">
        <references count="1">
          <reference field="4294967294" count="1">
            <x v="1"/>
          </reference>
        </references>
      </pivotArea>
    </format>
    <format dxfId="160">
      <pivotArea collapsedLevelsAreSubtotals="1" fieldPosition="0">
        <references count="2">
          <reference field="4294967294" count="1" selected="0">
            <x v="0"/>
          </reference>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98B13F-22B3-4967-B79F-63E20C2D7862}" name="PivotTable5" cacheId="779" applyNumberFormats="0" applyBorderFormats="0" applyFontFormats="0" applyPatternFormats="0" applyAlignmentFormats="0" applyWidthHeightFormats="1" dataCaption="Values" tag="545f6662-2f14-43a9-bba4-1282e448f973" updatedVersion="7" minRefreshableVersion="3" subtotalHiddenItems="1" itemPrintTitles="1" createdVersion="5" indent="0" outline="1" outlineData="1" multipleFieldFilters="0" chartFormat="20">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64">
      <pivotArea collapsedLevelsAreSubtotals="1" fieldPosition="0">
        <references count="1">
          <reference field="0" count="0"/>
        </references>
      </pivotArea>
    </format>
  </formats>
  <chartFormats count="2">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1B158E-E482-4A3A-834E-3A91062F21BA}" name="PivotTable3" cacheId="773" applyNumberFormats="0" applyBorderFormats="0" applyFontFormats="0" applyPatternFormats="0" applyAlignmentFormats="0" applyWidthHeightFormats="1" dataCaption="Values" tag="56fbf4fb-f58d-46d7-a8b9-b416f2a81e4b" updatedVersion="7"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65">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0810BE-E6C1-4CB8-B882-ABC641EE63D3}" name="PivotTable2" cacheId="770" applyNumberFormats="0" applyBorderFormats="0" applyFontFormats="0" applyPatternFormats="0" applyAlignmentFormats="0" applyWidthHeightFormats="1" dataCaption="Values" tag="412a1024-5a88-46ee-b4a8-e4f3d7136552" updatedVersion="7"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6">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D785F9-809F-4683-8120-4DF18580AE1A}" name="PivotTable1" cacheId="767" applyNumberFormats="0" applyBorderFormats="0" applyFontFormats="0" applyPatternFormats="0" applyAlignmentFormats="0" applyWidthHeightFormats="1" dataCaption="Values" tag="2bf5e1bd-40ba-44d1-b20b-fe1c79577751"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9F191B-EBB7-4C18-8C1B-3DCE2EF9BF1E}" name="PivotTable6" cacheId="776" applyNumberFormats="0" applyBorderFormats="0" applyFontFormats="0" applyPatternFormats="0" applyAlignmentFormats="0" applyWidthHeightFormats="1" dataCaption="Values" tag="51e47de2-250d-4925-b2e6-cf9375eb9555" updatedVersion="7" minRefreshableVersion="3" subtotalHiddenItems="1" itemPrintTitles="1" createdVersion="5" indent="0" outline="1" outlineData="1" multipleFieldFilters="0" chartFormat="16">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67">
      <pivotArea collapsedLevelsAreSubtotals="1" fieldPosition="0">
        <references count="1">
          <reference field="0" count="0"/>
        </references>
      </pivotArea>
    </format>
  </formats>
  <chartFormats count="5">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F0D2C6-32E3-477B-9468-EB6B63B61A89}" name="PivotTable4" cacheId="764" applyNumberFormats="0" applyBorderFormats="0" applyFontFormats="0" applyPatternFormats="0" applyAlignmentFormats="0" applyWidthHeightFormats="1" dataCaption="Values" tag="b7fa9e8c-50ef-43b5-aeb7-cc36b9b5da4d" updatedVersion="7" minRefreshableVersion="3" subtotalHiddenItems="1" itemPrintTitles="1" createdVersion="5" indent="0" outline="1" outlineData="1" multipleFieldFilters="0" chartFormat="7">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2F92C73-8907-4FC5-8B65-DEA08E0532F8}" sourceName="[Calender_Table].[Date (Month)]">
  <pivotTables>
    <pivotTable tabId="1" name="PivotTable4"/>
    <pivotTable tabId="1" name="PivotTable1"/>
    <pivotTable tabId="1" name="PivotTable2"/>
    <pivotTable tabId="1" name="PivotTable3"/>
    <pivotTable tabId="1" name="PivotTable6"/>
    <pivotTable tabId="1" name="PivotTable5"/>
    <pivotTable tabId="1" name="PivotTable7"/>
    <pivotTable tabId="1" name="PivotTable8"/>
    <pivotTable tabId="1" name="PivotTable9"/>
    <pivotTable tabId="1" name="PivotTable10"/>
    <pivotTable tabId="1" name="PivotTable11"/>
    <pivotTable tabId="1" name="PivotTable13"/>
  </pivotTables>
  <data>
    <olap pivotCacheId="132332186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265A933-6D3B-4150-8BB8-E8EA4B598D3B}" sourceName="[Calender_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2332186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C8D2182-1F5C-4E48-B844-757752DBC0E0}" cache="Slicer_Date__Month" caption="Date (Month)" showCaption="0" level="1" style="my style" rowHeight="144000"/>
  <slicer name="Date (Year)" xr10:uid="{8DC14305-E09A-4221-A5D0-160DF54DAA18}" cache="Slicer_Date__Year" caption="Date (Year)" showCaption="0" level="1" style="my style" rowHeight="10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548E-0405-4215-928F-C6698D30F7C8}">
  <dimension ref="A3:M100"/>
  <sheetViews>
    <sheetView topLeftCell="A86" zoomScaleNormal="100" workbookViewId="0">
      <selection activeCell="A100" sqref="A99:A100"/>
    </sheetView>
  </sheetViews>
  <sheetFormatPr defaultRowHeight="14.4" x14ac:dyDescent="0.3"/>
  <cols>
    <col min="1" max="1" width="14.77734375" customWidth="1"/>
    <col min="2" max="2" width="12.6640625" customWidth="1"/>
    <col min="3" max="3" width="11.109375" customWidth="1"/>
    <col min="8" max="8" width="16.109375" bestFit="1" customWidth="1"/>
    <col min="12" max="12" width="24.77734375" bestFit="1" customWidth="1"/>
  </cols>
  <sheetData>
    <row r="3" spans="1:13" x14ac:dyDescent="0.3">
      <c r="A3" t="s">
        <v>1</v>
      </c>
      <c r="C3" t="s">
        <v>38</v>
      </c>
      <c r="H3" t="s">
        <v>39</v>
      </c>
      <c r="L3" t="s">
        <v>42</v>
      </c>
    </row>
    <row r="4" spans="1:13" x14ac:dyDescent="0.3">
      <c r="A4" t="s">
        <v>0</v>
      </c>
      <c r="C4" s="4" t="s">
        <v>4</v>
      </c>
      <c r="D4" t="s">
        <v>0</v>
      </c>
      <c r="H4" s="4" t="s">
        <v>4</v>
      </c>
      <c r="I4" t="s">
        <v>2</v>
      </c>
      <c r="L4" s="4" t="s">
        <v>4</v>
      </c>
      <c r="M4" t="s">
        <v>3</v>
      </c>
    </row>
    <row r="5" spans="1:13" x14ac:dyDescent="0.3">
      <c r="A5" s="1">
        <v>513</v>
      </c>
      <c r="C5" s="5" t="s">
        <v>6</v>
      </c>
      <c r="D5" s="1">
        <v>19</v>
      </c>
      <c r="H5" s="5" t="s">
        <v>6</v>
      </c>
      <c r="I5" s="2">
        <v>37.789473684210527</v>
      </c>
      <c r="L5" s="5" t="s">
        <v>6</v>
      </c>
      <c r="M5" s="2">
        <v>6.666666666666667</v>
      </c>
    </row>
    <row r="6" spans="1:13" x14ac:dyDescent="0.3">
      <c r="A6" s="1"/>
      <c r="C6" s="5" t="s">
        <v>7</v>
      </c>
      <c r="D6" s="1">
        <v>14</v>
      </c>
      <c r="H6" s="5" t="s">
        <v>7</v>
      </c>
      <c r="I6" s="2">
        <v>38.214285714285715</v>
      </c>
      <c r="L6" s="5" t="s">
        <v>7</v>
      </c>
      <c r="M6" s="2">
        <v>3.5</v>
      </c>
    </row>
    <row r="7" spans="1:13" x14ac:dyDescent="0.3">
      <c r="A7" s="1"/>
      <c r="C7" s="5" t="s">
        <v>8</v>
      </c>
      <c r="D7" s="1">
        <v>13</v>
      </c>
      <c r="H7" s="5" t="s">
        <v>8</v>
      </c>
      <c r="I7" s="2">
        <v>40.92307692307692</v>
      </c>
      <c r="L7" s="5" t="s">
        <v>8</v>
      </c>
      <c r="M7" s="2">
        <v>4.5</v>
      </c>
    </row>
    <row r="8" spans="1:13" x14ac:dyDescent="0.3">
      <c r="A8" s="1"/>
      <c r="C8" s="5" t="s">
        <v>9</v>
      </c>
      <c r="D8" s="1">
        <v>22</v>
      </c>
      <c r="H8" s="5" t="s">
        <v>9</v>
      </c>
      <c r="I8" s="2">
        <v>34.5</v>
      </c>
      <c r="L8" s="5" t="s">
        <v>9</v>
      </c>
      <c r="M8" s="2">
        <v>4.8</v>
      </c>
    </row>
    <row r="9" spans="1:13" x14ac:dyDescent="0.3">
      <c r="A9" t="s">
        <v>2</v>
      </c>
      <c r="C9" s="5" t="s">
        <v>10</v>
      </c>
      <c r="D9" s="1">
        <v>19</v>
      </c>
      <c r="H9" s="5" t="s">
        <v>10</v>
      </c>
      <c r="I9" s="2">
        <v>30.684210526315791</v>
      </c>
      <c r="L9" s="5" t="s">
        <v>10</v>
      </c>
      <c r="M9" s="2">
        <v>7.75</v>
      </c>
    </row>
    <row r="10" spans="1:13" x14ac:dyDescent="0.3">
      <c r="A10" s="2">
        <v>36.323586744639378</v>
      </c>
      <c r="C10" s="5" t="s">
        <v>11</v>
      </c>
      <c r="D10" s="1">
        <v>15</v>
      </c>
      <c r="H10" s="5" t="s">
        <v>11</v>
      </c>
      <c r="I10" s="2">
        <v>37.666666666666664</v>
      </c>
      <c r="L10" s="5" t="s">
        <v>11</v>
      </c>
      <c r="M10" s="2">
        <v>6.2</v>
      </c>
    </row>
    <row r="11" spans="1:13" x14ac:dyDescent="0.3">
      <c r="A11" s="1"/>
      <c r="C11" s="5" t="s">
        <v>12</v>
      </c>
      <c r="D11" s="1">
        <v>12</v>
      </c>
      <c r="H11" s="5" t="s">
        <v>12</v>
      </c>
      <c r="I11" s="2">
        <v>36.083333333333336</v>
      </c>
      <c r="L11" s="5" t="s">
        <v>12</v>
      </c>
      <c r="M11" s="2">
        <v>3.75</v>
      </c>
    </row>
    <row r="12" spans="1:13" x14ac:dyDescent="0.3">
      <c r="A12" s="1"/>
      <c r="C12" s="5" t="s">
        <v>13</v>
      </c>
      <c r="D12" s="1">
        <v>21</v>
      </c>
      <c r="H12" s="5" t="s">
        <v>13</v>
      </c>
      <c r="I12" s="2">
        <v>43.523809523809526</v>
      </c>
      <c r="L12" s="5" t="s">
        <v>13</v>
      </c>
      <c r="M12" s="2">
        <v>6.5</v>
      </c>
    </row>
    <row r="13" spans="1:13" x14ac:dyDescent="0.3">
      <c r="A13" s="1"/>
      <c r="C13" s="5" t="s">
        <v>14</v>
      </c>
      <c r="D13" s="1">
        <v>12</v>
      </c>
      <c r="H13" s="5" t="s">
        <v>14</v>
      </c>
      <c r="I13" s="2">
        <v>29.5</v>
      </c>
      <c r="L13" s="5" t="s">
        <v>14</v>
      </c>
      <c r="M13" s="2">
        <v>3</v>
      </c>
    </row>
    <row r="14" spans="1:13" x14ac:dyDescent="0.3">
      <c r="A14" s="1"/>
      <c r="C14" s="5" t="s">
        <v>15</v>
      </c>
      <c r="D14" s="1">
        <v>13</v>
      </c>
      <c r="H14" s="5" t="s">
        <v>15</v>
      </c>
      <c r="I14" s="2">
        <v>38.07692307692308</v>
      </c>
      <c r="L14" s="5" t="s">
        <v>15</v>
      </c>
      <c r="M14" s="2">
        <v>4.5</v>
      </c>
    </row>
    <row r="15" spans="1:13" x14ac:dyDescent="0.3">
      <c r="A15" t="s">
        <v>3</v>
      </c>
      <c r="C15" s="5" t="s">
        <v>16</v>
      </c>
      <c r="D15" s="1">
        <v>13</v>
      </c>
      <c r="H15" s="5" t="s">
        <v>16</v>
      </c>
      <c r="I15" s="2">
        <v>35.846153846153847</v>
      </c>
      <c r="L15" s="5" t="s">
        <v>16</v>
      </c>
      <c r="M15" s="2">
        <v>6</v>
      </c>
    </row>
    <row r="16" spans="1:13" x14ac:dyDescent="0.3">
      <c r="A16" s="2">
        <v>4.9591836734693882</v>
      </c>
      <c r="C16" s="5" t="s">
        <v>17</v>
      </c>
      <c r="D16" s="1">
        <v>16</v>
      </c>
      <c r="H16" s="5" t="s">
        <v>17</v>
      </c>
      <c r="I16" s="2">
        <v>32.625</v>
      </c>
      <c r="L16" s="5" t="s">
        <v>17</v>
      </c>
      <c r="M16" s="2">
        <v>5.2</v>
      </c>
    </row>
    <row r="17" spans="1:13" x14ac:dyDescent="0.3">
      <c r="A17" s="1"/>
      <c r="C17" s="5" t="s">
        <v>18</v>
      </c>
      <c r="D17" s="1">
        <v>20</v>
      </c>
      <c r="H17" s="5" t="s">
        <v>18</v>
      </c>
      <c r="I17" s="2">
        <v>39.200000000000003</v>
      </c>
      <c r="L17" s="5" t="s">
        <v>18</v>
      </c>
      <c r="M17" s="2">
        <v>4.4000000000000004</v>
      </c>
    </row>
    <row r="18" spans="1:13" x14ac:dyDescent="0.3">
      <c r="A18" s="1"/>
      <c r="C18" s="5" t="s">
        <v>19</v>
      </c>
      <c r="D18" s="1">
        <v>25</v>
      </c>
      <c r="H18" s="5" t="s">
        <v>19</v>
      </c>
      <c r="I18" s="2">
        <v>35.28</v>
      </c>
      <c r="L18" s="5" t="s">
        <v>19</v>
      </c>
      <c r="M18" s="2">
        <v>3.4545454545454546</v>
      </c>
    </row>
    <row r="19" spans="1:13" x14ac:dyDescent="0.3">
      <c r="A19" s="1"/>
      <c r="C19" s="5" t="s">
        <v>20</v>
      </c>
      <c r="D19" s="1">
        <v>20</v>
      </c>
      <c r="H19" s="5" t="s">
        <v>20</v>
      </c>
      <c r="I19" s="2">
        <v>32.549999999999997</v>
      </c>
      <c r="L19" s="5" t="s">
        <v>20</v>
      </c>
      <c r="M19" s="2">
        <v>4.4000000000000004</v>
      </c>
    </row>
    <row r="20" spans="1:13" x14ac:dyDescent="0.3">
      <c r="C20" s="5" t="s">
        <v>21</v>
      </c>
      <c r="D20" s="1">
        <v>14</v>
      </c>
      <c r="H20" s="5" t="s">
        <v>21</v>
      </c>
      <c r="I20" s="2">
        <v>35.642857142857146</v>
      </c>
      <c r="L20" s="5" t="s">
        <v>21</v>
      </c>
      <c r="M20" s="2">
        <v>5.833333333333333</v>
      </c>
    </row>
    <row r="21" spans="1:13" x14ac:dyDescent="0.3">
      <c r="C21" s="5" t="s">
        <v>22</v>
      </c>
      <c r="D21" s="1">
        <v>17</v>
      </c>
      <c r="H21" s="5" t="s">
        <v>22</v>
      </c>
      <c r="I21" s="2">
        <v>38.764705882352942</v>
      </c>
      <c r="L21" s="5" t="s">
        <v>22</v>
      </c>
      <c r="M21" s="2">
        <v>4.4444444444444446</v>
      </c>
    </row>
    <row r="22" spans="1:13" x14ac:dyDescent="0.3">
      <c r="C22" s="5" t="s">
        <v>23</v>
      </c>
      <c r="D22" s="1">
        <v>20</v>
      </c>
      <c r="H22" s="5" t="s">
        <v>23</v>
      </c>
      <c r="I22" s="2">
        <v>39.9</v>
      </c>
      <c r="L22" s="5" t="s">
        <v>23</v>
      </c>
      <c r="M22" s="2">
        <v>5.333333333333333</v>
      </c>
    </row>
    <row r="23" spans="1:13" x14ac:dyDescent="0.3">
      <c r="C23" s="5" t="s">
        <v>24</v>
      </c>
      <c r="D23" s="1">
        <v>10</v>
      </c>
      <c r="H23" s="5" t="s">
        <v>24</v>
      </c>
      <c r="I23" s="2">
        <v>41.6</v>
      </c>
      <c r="L23" s="5" t="s">
        <v>24</v>
      </c>
      <c r="M23" s="2">
        <v>5.333333333333333</v>
      </c>
    </row>
    <row r="24" spans="1:13" x14ac:dyDescent="0.3">
      <c r="C24" s="5" t="s">
        <v>25</v>
      </c>
      <c r="D24" s="1">
        <v>17</v>
      </c>
      <c r="H24" s="5" t="s">
        <v>25</v>
      </c>
      <c r="I24" s="2">
        <v>39.470588235294116</v>
      </c>
      <c r="L24" s="5" t="s">
        <v>25</v>
      </c>
      <c r="M24" s="2">
        <v>5.5714285714285712</v>
      </c>
    </row>
    <row r="25" spans="1:13" x14ac:dyDescent="0.3">
      <c r="C25" s="5" t="s">
        <v>26</v>
      </c>
      <c r="D25" s="1">
        <v>15</v>
      </c>
      <c r="H25" s="5" t="s">
        <v>26</v>
      </c>
      <c r="I25" s="2">
        <v>27.733333333333334</v>
      </c>
      <c r="L25" s="5" t="s">
        <v>26</v>
      </c>
      <c r="M25" s="2">
        <v>5</v>
      </c>
    </row>
    <row r="26" spans="1:13" x14ac:dyDescent="0.3">
      <c r="C26" s="5" t="s">
        <v>27</v>
      </c>
      <c r="D26" s="1">
        <v>16</v>
      </c>
      <c r="H26" s="5" t="s">
        <v>27</v>
      </c>
      <c r="I26" s="2">
        <v>36.875</v>
      </c>
      <c r="L26" s="5" t="s">
        <v>27</v>
      </c>
      <c r="M26" s="2">
        <v>6.4</v>
      </c>
    </row>
    <row r="27" spans="1:13" x14ac:dyDescent="0.3">
      <c r="C27" s="5" t="s">
        <v>28</v>
      </c>
      <c r="D27" s="1">
        <v>18</v>
      </c>
      <c r="H27" s="5" t="s">
        <v>28</v>
      </c>
      <c r="I27" s="2">
        <v>40.333333333333336</v>
      </c>
      <c r="L27" s="5" t="s">
        <v>28</v>
      </c>
      <c r="M27" s="2">
        <v>5.333333333333333</v>
      </c>
    </row>
    <row r="28" spans="1:13" x14ac:dyDescent="0.3">
      <c r="C28" s="5" t="s">
        <v>29</v>
      </c>
      <c r="D28" s="1">
        <v>16</v>
      </c>
      <c r="H28" s="5" t="s">
        <v>29</v>
      </c>
      <c r="I28" s="2">
        <v>36.5</v>
      </c>
      <c r="L28" s="5" t="s">
        <v>29</v>
      </c>
      <c r="M28" s="2">
        <v>3.75</v>
      </c>
    </row>
    <row r="29" spans="1:13" x14ac:dyDescent="0.3">
      <c r="C29" s="5" t="s">
        <v>30</v>
      </c>
      <c r="D29" s="1">
        <v>15</v>
      </c>
      <c r="H29" s="5" t="s">
        <v>30</v>
      </c>
      <c r="I29" s="2">
        <v>32.866666666666667</v>
      </c>
      <c r="L29" s="5" t="s">
        <v>30</v>
      </c>
      <c r="M29" s="2">
        <v>6.333333333333333</v>
      </c>
    </row>
    <row r="30" spans="1:13" x14ac:dyDescent="0.3">
      <c r="C30" s="5" t="s">
        <v>31</v>
      </c>
      <c r="D30" s="1">
        <v>14</v>
      </c>
      <c r="H30" s="5" t="s">
        <v>31</v>
      </c>
      <c r="I30" s="2">
        <v>36.642857142857146</v>
      </c>
      <c r="L30" s="5" t="s">
        <v>31</v>
      </c>
      <c r="M30" s="2">
        <v>10</v>
      </c>
    </row>
    <row r="31" spans="1:13" x14ac:dyDescent="0.3">
      <c r="C31" s="5" t="s">
        <v>32</v>
      </c>
      <c r="D31" s="1">
        <v>16</v>
      </c>
      <c r="H31" s="5" t="s">
        <v>32</v>
      </c>
      <c r="I31" s="2">
        <v>36.5625</v>
      </c>
      <c r="L31" s="5" t="s">
        <v>32</v>
      </c>
      <c r="M31" s="2">
        <v>5</v>
      </c>
    </row>
    <row r="32" spans="1:13" x14ac:dyDescent="0.3">
      <c r="C32" s="5" t="s">
        <v>33</v>
      </c>
      <c r="D32" s="1">
        <v>20</v>
      </c>
      <c r="H32" s="5" t="s">
        <v>33</v>
      </c>
      <c r="I32" s="2">
        <v>32.15</v>
      </c>
      <c r="L32" s="5" t="s">
        <v>33</v>
      </c>
      <c r="M32" s="2">
        <v>5.333333333333333</v>
      </c>
    </row>
    <row r="33" spans="1:13" x14ac:dyDescent="0.3">
      <c r="C33" s="5" t="s">
        <v>34</v>
      </c>
      <c r="D33" s="1">
        <v>19</v>
      </c>
      <c r="H33" s="5" t="s">
        <v>34</v>
      </c>
      <c r="I33" s="2">
        <v>38.368421052631582</v>
      </c>
      <c r="L33" s="5" t="s">
        <v>34</v>
      </c>
      <c r="M33" s="2">
        <v>4.8</v>
      </c>
    </row>
    <row r="34" spans="1:13" x14ac:dyDescent="0.3">
      <c r="C34" s="5" t="s">
        <v>35</v>
      </c>
      <c r="D34" s="1">
        <v>14</v>
      </c>
      <c r="H34" s="5" t="s">
        <v>35</v>
      </c>
      <c r="I34" s="2">
        <v>33.071428571428569</v>
      </c>
      <c r="L34" s="5" t="s">
        <v>35</v>
      </c>
      <c r="M34" s="2">
        <v>5</v>
      </c>
    </row>
    <row r="35" spans="1:13" x14ac:dyDescent="0.3">
      <c r="C35" s="5" t="s">
        <v>36</v>
      </c>
      <c r="D35" s="1">
        <v>18</v>
      </c>
      <c r="H35" s="5" t="s">
        <v>36</v>
      </c>
      <c r="I35" s="2">
        <v>36.444444444444443</v>
      </c>
      <c r="L35" s="5" t="s">
        <v>36</v>
      </c>
      <c r="M35" s="2">
        <v>1.4</v>
      </c>
    </row>
    <row r="36" spans="1:13" x14ac:dyDescent="0.3">
      <c r="C36" s="5" t="s">
        <v>5</v>
      </c>
      <c r="D36" s="1">
        <v>513</v>
      </c>
      <c r="H36" s="5" t="s">
        <v>5</v>
      </c>
      <c r="I36" s="1">
        <v>36.323586744639378</v>
      </c>
      <c r="L36" s="5" t="s">
        <v>5</v>
      </c>
      <c r="M36" s="1">
        <v>4.9591836734693882</v>
      </c>
    </row>
    <row r="38" spans="1:13" x14ac:dyDescent="0.3">
      <c r="A38" s="4" t="s">
        <v>4</v>
      </c>
      <c r="B38" t="s">
        <v>48</v>
      </c>
      <c r="C38" t="s">
        <v>49</v>
      </c>
    </row>
    <row r="39" spans="1:13" x14ac:dyDescent="0.3">
      <c r="A39" s="5" t="s">
        <v>46</v>
      </c>
      <c r="B39" s="9">
        <v>269</v>
      </c>
      <c r="C39" s="8">
        <v>0.52436647173489281</v>
      </c>
    </row>
    <row r="40" spans="1:13" x14ac:dyDescent="0.3">
      <c r="A40" s="5" t="s">
        <v>47</v>
      </c>
      <c r="B40" s="9">
        <v>244</v>
      </c>
      <c r="C40" s="8">
        <v>0.47563352826510719</v>
      </c>
    </row>
    <row r="41" spans="1:13" x14ac:dyDescent="0.3">
      <c r="A41" s="5" t="s">
        <v>5</v>
      </c>
      <c r="B41" s="2">
        <v>513</v>
      </c>
      <c r="C41" s="8">
        <v>1</v>
      </c>
    </row>
    <row r="48" spans="1:13" x14ac:dyDescent="0.3">
      <c r="A48" s="10" t="s">
        <v>50</v>
      </c>
      <c r="B48" s="10" t="s">
        <v>52</v>
      </c>
      <c r="C48" s="10" t="s">
        <v>51</v>
      </c>
      <c r="D48" s="10"/>
      <c r="E48" s="10"/>
      <c r="F48" s="10"/>
      <c r="G48" s="10"/>
    </row>
    <row r="49" spans="1:3" x14ac:dyDescent="0.3">
      <c r="A49" s="11" t="str">
        <f>A40</f>
        <v>Not Admitted</v>
      </c>
      <c r="B49" s="11">
        <f>B40</f>
        <v>244</v>
      </c>
      <c r="C49" s="12">
        <f>C40</f>
        <v>0.47563352826510719</v>
      </c>
    </row>
    <row r="50" spans="1:3" x14ac:dyDescent="0.3">
      <c r="A50" s="11" t="str">
        <f>A39</f>
        <v>Admitted</v>
      </c>
      <c r="B50" s="11">
        <f>B39</f>
        <v>269</v>
      </c>
      <c r="C50" s="12">
        <f>C39</f>
        <v>0.52436647173489281</v>
      </c>
    </row>
    <row r="53" spans="1:3" x14ac:dyDescent="0.3">
      <c r="A53" t="s">
        <v>62</v>
      </c>
    </row>
    <row r="54" spans="1:3" x14ac:dyDescent="0.3">
      <c r="A54" s="4" t="s">
        <v>4</v>
      </c>
      <c r="B54" t="s">
        <v>61</v>
      </c>
    </row>
    <row r="55" spans="1:3" x14ac:dyDescent="0.3">
      <c r="A55" s="5" t="s">
        <v>53</v>
      </c>
      <c r="B55" s="9">
        <v>76</v>
      </c>
    </row>
    <row r="56" spans="1:3" x14ac:dyDescent="0.3">
      <c r="A56" s="5" t="s">
        <v>54</v>
      </c>
      <c r="B56" s="9">
        <v>69</v>
      </c>
    </row>
    <row r="57" spans="1:3" x14ac:dyDescent="0.3">
      <c r="A57" s="5" t="s">
        <v>55</v>
      </c>
      <c r="B57" s="9">
        <v>64</v>
      </c>
    </row>
    <row r="58" spans="1:3" x14ac:dyDescent="0.3">
      <c r="A58" s="5" t="s">
        <v>56</v>
      </c>
      <c r="B58" s="9">
        <v>59</v>
      </c>
    </row>
    <row r="59" spans="1:3" x14ac:dyDescent="0.3">
      <c r="A59" s="5" t="s">
        <v>57</v>
      </c>
      <c r="B59" s="9">
        <v>58</v>
      </c>
    </row>
    <row r="60" spans="1:3" x14ac:dyDescent="0.3">
      <c r="A60" s="5" t="s">
        <v>58</v>
      </c>
      <c r="B60" s="9">
        <v>66</v>
      </c>
    </row>
    <row r="61" spans="1:3" x14ac:dyDescent="0.3">
      <c r="A61" s="5" t="s">
        <v>59</v>
      </c>
      <c r="B61" s="9">
        <v>67</v>
      </c>
    </row>
    <row r="62" spans="1:3" x14ac:dyDescent="0.3">
      <c r="A62" s="5" t="s">
        <v>60</v>
      </c>
      <c r="B62" s="9">
        <v>54</v>
      </c>
    </row>
    <row r="63" spans="1:3" x14ac:dyDescent="0.3">
      <c r="A63" s="5" t="s">
        <v>5</v>
      </c>
      <c r="B63" s="2">
        <v>513</v>
      </c>
    </row>
    <row r="65" spans="2:3" x14ac:dyDescent="0.3">
      <c r="B65" t="s">
        <v>63</v>
      </c>
    </row>
    <row r="66" spans="2:3" x14ac:dyDescent="0.3">
      <c r="B66" s="4" t="s">
        <v>4</v>
      </c>
      <c r="C66" t="s">
        <v>45</v>
      </c>
    </row>
    <row r="67" spans="2:3" x14ac:dyDescent="0.3">
      <c r="B67" s="5" t="s">
        <v>43</v>
      </c>
      <c r="C67" s="9">
        <v>316</v>
      </c>
    </row>
    <row r="68" spans="2:3" x14ac:dyDescent="0.3">
      <c r="B68" s="5" t="s">
        <v>44</v>
      </c>
      <c r="C68" s="9">
        <v>197</v>
      </c>
    </row>
    <row r="69" spans="2:3" x14ac:dyDescent="0.3">
      <c r="B69" s="5" t="s">
        <v>5</v>
      </c>
      <c r="C69" s="2">
        <v>513</v>
      </c>
    </row>
    <row r="73" spans="2:3" x14ac:dyDescent="0.3">
      <c r="B73" t="s">
        <v>67</v>
      </c>
    </row>
    <row r="74" spans="2:3" x14ac:dyDescent="0.3">
      <c r="B74" s="4" t="s">
        <v>4</v>
      </c>
      <c r="C74" t="s">
        <v>66</v>
      </c>
    </row>
    <row r="75" spans="2:3" x14ac:dyDescent="0.3">
      <c r="B75" s="5" t="s">
        <v>64</v>
      </c>
      <c r="C75" s="2">
        <v>241</v>
      </c>
    </row>
    <row r="76" spans="2:3" x14ac:dyDescent="0.3">
      <c r="B76" s="5" t="s">
        <v>65</v>
      </c>
      <c r="C76" s="2">
        <v>272</v>
      </c>
    </row>
    <row r="77" spans="2:3" x14ac:dyDescent="0.3">
      <c r="B77" s="5" t="s">
        <v>5</v>
      </c>
      <c r="C77" s="2">
        <v>513</v>
      </c>
    </row>
    <row r="84" spans="1:2" x14ac:dyDescent="0.3">
      <c r="A84" s="4" t="s">
        <v>4</v>
      </c>
      <c r="B84" t="s">
        <v>76</v>
      </c>
    </row>
    <row r="85" spans="1:2" x14ac:dyDescent="0.3">
      <c r="A85" s="5" t="s">
        <v>69</v>
      </c>
      <c r="B85" s="9">
        <v>4</v>
      </c>
    </row>
    <row r="86" spans="1:2" x14ac:dyDescent="0.3">
      <c r="A86" s="5" t="s">
        <v>75</v>
      </c>
      <c r="B86" s="9">
        <v>5</v>
      </c>
    </row>
    <row r="87" spans="1:2" x14ac:dyDescent="0.3">
      <c r="A87" s="5" t="s">
        <v>71</v>
      </c>
      <c r="B87" s="9">
        <v>9</v>
      </c>
    </row>
    <row r="88" spans="1:2" x14ac:dyDescent="0.3">
      <c r="A88" s="5" t="s">
        <v>74</v>
      </c>
      <c r="B88" s="9">
        <v>14</v>
      </c>
    </row>
    <row r="89" spans="1:2" x14ac:dyDescent="0.3">
      <c r="A89" s="5" t="s">
        <v>68</v>
      </c>
      <c r="B89" s="9">
        <v>14</v>
      </c>
    </row>
    <row r="90" spans="1:2" x14ac:dyDescent="0.3">
      <c r="A90" s="5" t="s">
        <v>73</v>
      </c>
      <c r="B90" s="9">
        <v>65</v>
      </c>
    </row>
    <row r="91" spans="1:2" x14ac:dyDescent="0.3">
      <c r="A91" s="5" t="s">
        <v>70</v>
      </c>
      <c r="B91" s="9">
        <v>103</v>
      </c>
    </row>
    <row r="92" spans="1:2" x14ac:dyDescent="0.3">
      <c r="A92" s="5" t="s">
        <v>72</v>
      </c>
      <c r="B92" s="9">
        <v>299</v>
      </c>
    </row>
    <row r="93" spans="1:2" x14ac:dyDescent="0.3">
      <c r="A93" s="5" t="s">
        <v>5</v>
      </c>
      <c r="B93" s="2">
        <v>513</v>
      </c>
    </row>
    <row r="98" spans="1:1" x14ac:dyDescent="0.3">
      <c r="A98" s="4" t="s">
        <v>4</v>
      </c>
    </row>
    <row r="99" spans="1:1" x14ac:dyDescent="0.3">
      <c r="A99" s="5" t="s">
        <v>77</v>
      </c>
    </row>
    <row r="100" spans="1:1" x14ac:dyDescent="0.3">
      <c r="A100" s="5" t="s">
        <v>5</v>
      </c>
    </row>
  </sheetData>
  <pageMargins left="0.7" right="0.7" top="0.75" bottom="0.75" header="0.3" footer="0.3"/>
  <pageSetup orientation="portrait" horizontalDpi="1200" verticalDpi="1200"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34D6-A717-4643-B22B-FA6A06DC9EB0}">
  <dimension ref="A1:V41"/>
  <sheetViews>
    <sheetView tabSelected="1" zoomScale="160" zoomScaleNormal="160" workbookViewId="0">
      <selection activeCell="K17" sqref="K17"/>
    </sheetView>
  </sheetViews>
  <sheetFormatPr defaultRowHeight="14.4" x14ac:dyDescent="0.3"/>
  <sheetData>
    <row r="1" spans="1:22" x14ac:dyDescent="0.3">
      <c r="A1" s="3"/>
      <c r="B1" s="3"/>
      <c r="C1" s="3"/>
      <c r="D1" s="3"/>
      <c r="E1" s="3"/>
      <c r="F1" s="3"/>
      <c r="G1" s="3"/>
      <c r="H1" s="3"/>
      <c r="I1" s="3"/>
      <c r="J1" s="3"/>
      <c r="K1" s="3"/>
      <c r="L1" s="3"/>
      <c r="M1" s="3"/>
      <c r="N1" s="3"/>
      <c r="O1" s="3"/>
      <c r="P1" s="3"/>
      <c r="Q1" s="3"/>
      <c r="R1" s="3"/>
      <c r="S1" s="3"/>
      <c r="T1" s="3"/>
      <c r="U1" s="3"/>
      <c r="V1" s="3"/>
    </row>
    <row r="2" spans="1:22" x14ac:dyDescent="0.3">
      <c r="A2" s="3"/>
      <c r="B2" s="3"/>
      <c r="C2" s="3"/>
      <c r="D2" s="3"/>
      <c r="E2" s="3"/>
      <c r="F2" s="3"/>
      <c r="G2" s="3"/>
      <c r="H2" s="3"/>
      <c r="I2" s="3"/>
      <c r="J2" s="3"/>
      <c r="K2" s="3"/>
      <c r="L2" s="3"/>
      <c r="M2" s="3"/>
      <c r="N2" s="3"/>
      <c r="O2" s="3"/>
      <c r="P2" s="3"/>
      <c r="Q2" s="3"/>
      <c r="R2" s="3"/>
      <c r="S2" s="3"/>
      <c r="T2" s="3"/>
      <c r="U2" s="3"/>
      <c r="V2" s="3"/>
    </row>
    <row r="3" spans="1:22" x14ac:dyDescent="0.3">
      <c r="A3" s="3"/>
      <c r="B3" s="3"/>
      <c r="C3" s="3"/>
      <c r="D3" s="3"/>
      <c r="E3" s="3"/>
      <c r="F3" s="3"/>
      <c r="G3" s="3"/>
      <c r="H3" s="3"/>
      <c r="I3" s="3"/>
      <c r="J3" s="3"/>
      <c r="K3" s="3"/>
      <c r="L3" s="3"/>
      <c r="M3" s="3"/>
      <c r="N3" s="3"/>
      <c r="O3" s="3"/>
      <c r="P3" s="3"/>
      <c r="Q3" s="3"/>
      <c r="R3" s="3"/>
      <c r="S3" s="3"/>
      <c r="T3" s="3"/>
      <c r="U3" s="3"/>
      <c r="V3" s="3"/>
    </row>
    <row r="4" spans="1:22" x14ac:dyDescent="0.3">
      <c r="A4" s="3"/>
      <c r="B4" s="3"/>
      <c r="C4" s="3"/>
      <c r="D4" s="3"/>
      <c r="E4" s="3"/>
      <c r="F4" s="3"/>
      <c r="G4" s="3"/>
      <c r="H4" s="3"/>
      <c r="I4" s="3"/>
      <c r="J4" s="3"/>
      <c r="K4" s="3"/>
      <c r="L4" s="3"/>
      <c r="M4" s="3"/>
      <c r="N4" s="3"/>
      <c r="O4" s="3"/>
      <c r="P4" s="3"/>
      <c r="Q4" s="3"/>
      <c r="R4" s="3"/>
      <c r="S4" s="3"/>
      <c r="T4" s="3"/>
      <c r="U4" s="3"/>
      <c r="V4" s="3"/>
    </row>
    <row r="5" spans="1:22" x14ac:dyDescent="0.3">
      <c r="A5" s="3"/>
      <c r="B5" s="3"/>
      <c r="C5" s="3"/>
      <c r="D5" s="3"/>
      <c r="E5" s="3"/>
      <c r="F5" s="3"/>
      <c r="G5" s="3"/>
      <c r="H5" s="3"/>
      <c r="I5" s="3"/>
      <c r="J5" s="3"/>
      <c r="K5" s="3"/>
      <c r="L5" s="3"/>
      <c r="M5" s="3"/>
      <c r="N5" s="3"/>
      <c r="O5" s="3"/>
      <c r="P5" s="3"/>
      <c r="Q5" s="3"/>
      <c r="R5" s="3"/>
      <c r="S5" s="3"/>
      <c r="T5" s="3"/>
      <c r="U5" s="3"/>
      <c r="V5" s="3"/>
    </row>
    <row r="6" spans="1:22" x14ac:dyDescent="0.3">
      <c r="A6" s="3"/>
      <c r="B6" s="3"/>
      <c r="C6" s="3"/>
      <c r="D6" s="3"/>
      <c r="E6" s="3"/>
      <c r="F6" s="3"/>
      <c r="G6" s="3"/>
      <c r="H6" s="3"/>
      <c r="I6" s="3"/>
      <c r="J6" s="3"/>
      <c r="K6" s="3"/>
      <c r="L6" s="3"/>
      <c r="M6" s="3"/>
      <c r="N6" s="3"/>
      <c r="O6" s="3"/>
      <c r="P6" s="3"/>
      <c r="Q6" s="3"/>
      <c r="R6" s="3"/>
      <c r="S6" s="3"/>
      <c r="T6" s="3"/>
      <c r="U6" s="3"/>
      <c r="V6" s="3"/>
    </row>
    <row r="7" spans="1:22" x14ac:dyDescent="0.3">
      <c r="A7" s="3"/>
      <c r="B7" s="3"/>
      <c r="C7" s="3"/>
      <c r="D7" s="3"/>
      <c r="E7" s="3"/>
      <c r="F7" s="3"/>
      <c r="G7" s="3"/>
      <c r="H7" s="3"/>
      <c r="I7" s="3"/>
      <c r="J7" s="3"/>
      <c r="K7" s="3"/>
      <c r="L7" s="3"/>
      <c r="M7" s="3"/>
      <c r="N7" s="3"/>
      <c r="O7" s="3"/>
      <c r="P7" s="3"/>
      <c r="Q7" s="3"/>
      <c r="R7" s="3"/>
      <c r="S7" s="3"/>
      <c r="T7" s="3"/>
      <c r="U7" s="3"/>
      <c r="V7" s="3"/>
    </row>
    <row r="8" spans="1:22" x14ac:dyDescent="0.3">
      <c r="A8" s="3"/>
      <c r="B8" s="3"/>
      <c r="C8" s="3"/>
      <c r="D8" s="3"/>
      <c r="E8" s="3"/>
      <c r="F8" s="3"/>
      <c r="G8" s="3"/>
      <c r="H8" s="3"/>
      <c r="I8" s="3"/>
      <c r="J8" s="3"/>
      <c r="K8" s="3"/>
      <c r="L8" s="3"/>
      <c r="M8" s="3"/>
      <c r="N8" s="3"/>
      <c r="O8" s="3"/>
      <c r="P8" s="3"/>
      <c r="Q8" s="3"/>
      <c r="R8" s="3"/>
      <c r="S8" s="3"/>
      <c r="T8" s="3"/>
      <c r="U8" s="3"/>
      <c r="V8" s="3"/>
    </row>
    <row r="9" spans="1:22" x14ac:dyDescent="0.3">
      <c r="A9" s="3"/>
      <c r="B9" s="3"/>
      <c r="C9" s="3"/>
      <c r="D9" s="3"/>
      <c r="E9" s="3"/>
      <c r="F9" s="3"/>
      <c r="G9" s="3"/>
      <c r="H9" s="3"/>
      <c r="I9" s="3"/>
      <c r="J9" s="3"/>
      <c r="K9" s="3"/>
      <c r="L9" s="3"/>
      <c r="M9" s="3"/>
      <c r="N9" s="3"/>
      <c r="O9" s="3"/>
      <c r="P9" s="3"/>
      <c r="Q9" s="3"/>
      <c r="R9" s="3"/>
      <c r="S9" s="3"/>
      <c r="T9" s="3"/>
      <c r="U9" s="3"/>
      <c r="V9" s="3"/>
    </row>
    <row r="10" spans="1:22" x14ac:dyDescent="0.3">
      <c r="A10" s="3"/>
      <c r="B10" s="3"/>
      <c r="C10" s="3"/>
      <c r="D10" s="3"/>
      <c r="E10" s="3"/>
      <c r="F10" s="3"/>
      <c r="G10" s="3"/>
      <c r="H10" s="3"/>
      <c r="I10" s="3"/>
      <c r="J10" s="3"/>
      <c r="K10" s="3"/>
      <c r="L10" s="3"/>
      <c r="M10" s="3"/>
      <c r="N10" s="3"/>
      <c r="O10" s="3"/>
      <c r="P10" s="3"/>
      <c r="Q10" s="3"/>
      <c r="R10" s="3"/>
      <c r="S10" s="3"/>
      <c r="T10" s="3"/>
      <c r="U10" s="3"/>
      <c r="V10" s="3"/>
    </row>
    <row r="11" spans="1:22" x14ac:dyDescent="0.3">
      <c r="A11" s="3"/>
      <c r="B11" s="3"/>
      <c r="C11" s="3"/>
      <c r="D11" s="3"/>
      <c r="E11" s="3"/>
      <c r="F11" s="3"/>
      <c r="G11" s="3"/>
      <c r="H11" s="3"/>
      <c r="I11" s="3"/>
      <c r="J11" s="3"/>
      <c r="K11" s="3"/>
      <c r="L11" s="3"/>
      <c r="M11" s="3"/>
      <c r="N11" s="3"/>
      <c r="O11" s="3"/>
      <c r="P11" s="3"/>
      <c r="Q11" s="3"/>
      <c r="R11" s="3"/>
      <c r="S11" s="3"/>
      <c r="T11" s="3"/>
      <c r="U11" s="3"/>
      <c r="V11" s="3"/>
    </row>
    <row r="12" spans="1:22" x14ac:dyDescent="0.3">
      <c r="A12" s="3"/>
      <c r="B12" s="3"/>
      <c r="C12" s="3"/>
      <c r="D12" s="3"/>
      <c r="E12" s="3"/>
      <c r="F12" s="3"/>
      <c r="G12" s="3"/>
      <c r="H12" s="3"/>
      <c r="I12" s="3"/>
      <c r="J12" s="3"/>
      <c r="K12" s="3"/>
      <c r="L12" s="3"/>
      <c r="M12" s="3"/>
      <c r="N12" s="3"/>
      <c r="O12" s="3"/>
      <c r="P12" s="3"/>
      <c r="Q12" s="3"/>
      <c r="R12" s="3"/>
      <c r="S12" s="3"/>
      <c r="T12" s="3"/>
      <c r="U12" s="3"/>
      <c r="V12" s="3"/>
    </row>
    <row r="13" spans="1:22" x14ac:dyDescent="0.3">
      <c r="A13" s="3"/>
      <c r="B13" s="3"/>
      <c r="C13" s="3"/>
      <c r="D13" s="3"/>
      <c r="E13" s="3"/>
      <c r="F13" s="3"/>
      <c r="G13" s="3"/>
      <c r="H13" s="3"/>
      <c r="I13" s="3"/>
      <c r="J13" s="3"/>
      <c r="K13" s="3"/>
      <c r="L13" s="3"/>
      <c r="M13" s="3"/>
      <c r="N13" s="3"/>
      <c r="O13" s="3"/>
      <c r="P13" s="3"/>
      <c r="Q13" s="3"/>
      <c r="R13" s="3"/>
      <c r="S13" s="3"/>
      <c r="T13" s="3"/>
      <c r="U13" s="3"/>
      <c r="V13" s="3"/>
    </row>
    <row r="14" spans="1:22" x14ac:dyDescent="0.3">
      <c r="A14" s="3"/>
      <c r="B14" s="3"/>
      <c r="C14" s="3"/>
      <c r="D14" s="3"/>
      <c r="E14" s="3"/>
      <c r="F14" s="3"/>
      <c r="G14" s="3"/>
      <c r="H14" s="3"/>
      <c r="I14" s="3"/>
      <c r="J14" s="3"/>
      <c r="K14" s="3"/>
      <c r="L14" s="3"/>
      <c r="M14" s="3"/>
      <c r="N14" s="3"/>
      <c r="O14" s="3"/>
      <c r="P14" s="3"/>
      <c r="Q14" s="3"/>
      <c r="R14" s="3"/>
      <c r="S14" s="3"/>
      <c r="T14" s="3"/>
      <c r="U14" s="3"/>
      <c r="V14" s="3"/>
    </row>
    <row r="15" spans="1:22" x14ac:dyDescent="0.3">
      <c r="A15" s="3"/>
      <c r="B15" s="3"/>
      <c r="C15" s="3"/>
      <c r="D15" s="3"/>
      <c r="E15" s="3"/>
      <c r="F15" s="3"/>
      <c r="G15" s="3"/>
      <c r="H15" s="3"/>
      <c r="I15" s="3"/>
      <c r="J15" s="3"/>
      <c r="K15" s="3"/>
      <c r="L15" s="3"/>
      <c r="M15" s="3"/>
      <c r="N15" s="3"/>
      <c r="O15" s="3"/>
      <c r="P15" s="3"/>
      <c r="Q15" s="3"/>
      <c r="R15" s="3"/>
      <c r="S15" s="3"/>
      <c r="T15" s="3"/>
      <c r="U15" s="3"/>
      <c r="V15" s="3"/>
    </row>
    <row r="16" spans="1:22" x14ac:dyDescent="0.3">
      <c r="A16" s="3"/>
      <c r="B16" s="3"/>
      <c r="C16" s="3"/>
      <c r="D16" s="3"/>
      <c r="E16" s="3"/>
      <c r="F16" s="3"/>
      <c r="G16" s="3"/>
      <c r="H16" s="3"/>
      <c r="I16" s="3"/>
      <c r="J16" s="3"/>
      <c r="K16" s="3"/>
      <c r="L16" s="3"/>
      <c r="M16" s="3"/>
      <c r="N16" s="3"/>
      <c r="O16" s="3"/>
      <c r="P16" s="3"/>
      <c r="Q16" s="3"/>
      <c r="R16" s="3"/>
      <c r="S16" s="3"/>
      <c r="T16" s="3"/>
      <c r="U16" s="3"/>
      <c r="V16" s="3"/>
    </row>
    <row r="17" spans="1:22" x14ac:dyDescent="0.3">
      <c r="A17" s="3"/>
      <c r="B17" s="3"/>
      <c r="C17" s="3"/>
      <c r="D17" s="3"/>
      <c r="E17" s="3"/>
      <c r="F17" s="3"/>
      <c r="G17" s="3"/>
      <c r="H17" s="3"/>
      <c r="I17" s="3"/>
      <c r="J17" s="3"/>
      <c r="K17" s="3"/>
      <c r="L17" s="3"/>
      <c r="M17" s="3"/>
      <c r="N17" s="3"/>
      <c r="O17" s="3"/>
      <c r="P17" s="3"/>
      <c r="Q17" s="3"/>
      <c r="R17" s="3"/>
      <c r="S17" s="3"/>
      <c r="T17" s="3"/>
      <c r="U17" s="3"/>
      <c r="V17" s="3"/>
    </row>
    <row r="18" spans="1:22" x14ac:dyDescent="0.3">
      <c r="A18" s="3"/>
      <c r="B18" s="3"/>
      <c r="C18" s="3"/>
      <c r="D18" s="3"/>
      <c r="E18" s="3"/>
      <c r="F18" s="3"/>
      <c r="G18" s="3"/>
      <c r="H18" s="3"/>
      <c r="I18" s="3"/>
      <c r="J18" s="3"/>
      <c r="K18" s="3"/>
      <c r="L18" s="3"/>
      <c r="M18" s="3"/>
      <c r="N18" s="3"/>
      <c r="O18" s="3"/>
      <c r="P18" s="3"/>
      <c r="Q18" s="3"/>
      <c r="R18" s="3"/>
      <c r="S18" s="3"/>
      <c r="T18" s="3"/>
      <c r="U18" s="3"/>
      <c r="V18" s="3"/>
    </row>
    <row r="19" spans="1:22" x14ac:dyDescent="0.3">
      <c r="A19" s="3"/>
      <c r="B19" s="3"/>
      <c r="C19" s="3"/>
      <c r="D19" s="3"/>
      <c r="E19" s="3"/>
      <c r="F19" s="3"/>
      <c r="G19" s="3"/>
      <c r="H19" s="3"/>
      <c r="I19" s="3"/>
      <c r="J19" s="3"/>
      <c r="K19" s="3"/>
      <c r="L19" s="3"/>
      <c r="M19" s="3"/>
      <c r="N19" s="3"/>
      <c r="O19" s="3"/>
      <c r="P19" s="3"/>
      <c r="Q19" s="3"/>
      <c r="R19" s="3"/>
      <c r="S19" s="3"/>
      <c r="T19" s="3"/>
      <c r="U19" s="3"/>
      <c r="V19" s="3"/>
    </row>
    <row r="20" spans="1:22" x14ac:dyDescent="0.3">
      <c r="A20" s="3"/>
      <c r="B20" s="3"/>
      <c r="C20" s="3"/>
      <c r="D20" s="3"/>
      <c r="E20" s="3"/>
      <c r="F20" s="3"/>
      <c r="G20" s="3"/>
      <c r="H20" s="3"/>
      <c r="I20" s="3"/>
      <c r="J20" s="3"/>
      <c r="K20" s="3"/>
      <c r="L20" s="3"/>
      <c r="M20" s="3"/>
      <c r="N20" s="3"/>
      <c r="O20" s="3"/>
      <c r="P20" s="3"/>
      <c r="Q20" s="3"/>
      <c r="R20" s="3"/>
      <c r="S20" s="3"/>
      <c r="T20" s="3"/>
      <c r="U20" s="3"/>
      <c r="V20" s="3"/>
    </row>
    <row r="21" spans="1:22" x14ac:dyDescent="0.3">
      <c r="A21" s="3"/>
      <c r="B21" s="3"/>
      <c r="C21" s="3"/>
      <c r="D21" s="3"/>
      <c r="E21" s="3"/>
      <c r="F21" s="3"/>
      <c r="G21" s="3"/>
      <c r="H21" s="3"/>
      <c r="I21" s="3"/>
      <c r="J21" s="3"/>
      <c r="K21" s="3"/>
      <c r="L21" s="3"/>
      <c r="M21" s="3"/>
      <c r="N21" s="3"/>
      <c r="O21" s="3"/>
      <c r="P21" s="3"/>
      <c r="Q21" s="3"/>
      <c r="R21" s="3"/>
      <c r="S21" s="3"/>
      <c r="T21" s="3"/>
      <c r="U21" s="3"/>
      <c r="V21" s="3"/>
    </row>
    <row r="22" spans="1:22" x14ac:dyDescent="0.3">
      <c r="A22" s="3"/>
      <c r="B22" s="3"/>
      <c r="C22" s="3"/>
      <c r="D22" s="3"/>
      <c r="E22" s="3"/>
      <c r="F22" s="3"/>
      <c r="G22" s="3"/>
      <c r="H22" s="3"/>
      <c r="I22" s="3"/>
      <c r="J22" s="3"/>
      <c r="K22" s="3"/>
      <c r="L22" s="3"/>
      <c r="M22" s="3"/>
      <c r="N22" s="3"/>
      <c r="O22" s="3"/>
      <c r="P22" s="3"/>
      <c r="Q22" s="3"/>
      <c r="R22" s="3"/>
      <c r="S22" s="3"/>
      <c r="T22" s="3"/>
      <c r="U22" s="3"/>
      <c r="V22" s="3"/>
    </row>
    <row r="23" spans="1:22" x14ac:dyDescent="0.3">
      <c r="A23" s="3"/>
      <c r="B23" s="3"/>
      <c r="C23" s="3"/>
      <c r="D23" s="3"/>
      <c r="E23" s="3"/>
      <c r="F23" s="3"/>
      <c r="G23" s="3"/>
      <c r="H23" s="3"/>
      <c r="I23" s="3"/>
      <c r="J23" s="3"/>
      <c r="K23" s="3"/>
      <c r="L23" s="3"/>
      <c r="M23" s="3"/>
      <c r="N23" s="3"/>
      <c r="O23" s="3"/>
      <c r="P23" s="3"/>
      <c r="Q23" s="3"/>
      <c r="R23" s="3"/>
      <c r="S23" s="3"/>
      <c r="T23" s="3"/>
      <c r="U23" s="3"/>
      <c r="V23" s="3"/>
    </row>
    <row r="24" spans="1:22" x14ac:dyDescent="0.3">
      <c r="A24" s="3"/>
      <c r="B24" s="3"/>
      <c r="C24" s="3"/>
      <c r="D24" s="3"/>
      <c r="E24" s="3"/>
      <c r="F24" s="3"/>
      <c r="G24" s="3"/>
      <c r="H24" s="3"/>
      <c r="I24" s="3"/>
      <c r="J24" s="3"/>
      <c r="K24" s="3"/>
      <c r="L24" s="3"/>
      <c r="M24" s="3"/>
      <c r="N24" s="3"/>
      <c r="O24" s="3"/>
      <c r="P24" s="3"/>
      <c r="Q24" s="3"/>
      <c r="R24" s="3"/>
      <c r="S24" s="3"/>
      <c r="T24" s="3"/>
      <c r="U24" s="3"/>
      <c r="V24" s="3"/>
    </row>
    <row r="25" spans="1:22" x14ac:dyDescent="0.3">
      <c r="A25" s="3"/>
      <c r="B25" s="3"/>
      <c r="C25" s="3"/>
      <c r="D25" s="3"/>
      <c r="E25" s="3"/>
      <c r="F25" s="3"/>
      <c r="G25" s="3"/>
      <c r="H25" s="3"/>
      <c r="I25" s="3"/>
      <c r="J25" s="3"/>
      <c r="K25" s="3"/>
      <c r="L25" s="3"/>
      <c r="M25" s="3"/>
      <c r="N25" s="3"/>
      <c r="O25" s="3"/>
      <c r="P25" s="3"/>
      <c r="Q25" s="3"/>
      <c r="R25" s="3"/>
      <c r="S25" s="3"/>
      <c r="T25" s="3"/>
      <c r="U25" s="3"/>
      <c r="V25" s="3"/>
    </row>
    <row r="26" spans="1:22" x14ac:dyDescent="0.3">
      <c r="A26" s="3"/>
      <c r="B26" s="3"/>
      <c r="C26" s="3"/>
      <c r="D26" s="3"/>
      <c r="E26" s="3"/>
      <c r="F26" s="3"/>
      <c r="G26" s="3"/>
      <c r="H26" s="3"/>
      <c r="I26" s="3"/>
      <c r="J26" s="3"/>
      <c r="K26" s="3"/>
      <c r="L26" s="3"/>
      <c r="M26" s="3"/>
      <c r="N26" s="3"/>
      <c r="O26" s="3"/>
      <c r="P26" s="3"/>
      <c r="Q26" s="3"/>
      <c r="R26" s="3"/>
      <c r="S26" s="3"/>
      <c r="T26" s="3"/>
      <c r="U26" s="3"/>
      <c r="V26" s="3"/>
    </row>
    <row r="27" spans="1:22" x14ac:dyDescent="0.3">
      <c r="A27" s="3"/>
      <c r="B27" s="3"/>
      <c r="C27" s="3"/>
      <c r="D27" s="3"/>
      <c r="E27" s="3"/>
      <c r="F27" s="3"/>
      <c r="G27" s="3"/>
      <c r="H27" s="3"/>
      <c r="I27" s="3"/>
      <c r="J27" s="3"/>
      <c r="K27" s="3"/>
      <c r="L27" s="3"/>
      <c r="M27" s="3"/>
      <c r="N27" s="3"/>
      <c r="O27" s="3"/>
      <c r="P27" s="3"/>
      <c r="Q27" s="3"/>
      <c r="R27" s="3"/>
      <c r="S27" s="3"/>
      <c r="T27" s="3"/>
      <c r="U27" s="3"/>
      <c r="V27" s="3"/>
    </row>
    <row r="28" spans="1:22" x14ac:dyDescent="0.3">
      <c r="A28" s="3"/>
      <c r="B28" s="3"/>
      <c r="C28" s="3"/>
      <c r="D28" s="3"/>
      <c r="E28" s="3"/>
      <c r="F28" s="3"/>
      <c r="G28" s="3"/>
      <c r="H28" s="3"/>
      <c r="I28" s="3"/>
      <c r="J28" s="3"/>
      <c r="K28" s="3"/>
      <c r="L28" s="3"/>
      <c r="M28" s="3"/>
      <c r="N28" s="3"/>
      <c r="O28" s="3"/>
      <c r="P28" s="3"/>
      <c r="Q28" s="3"/>
      <c r="R28" s="3"/>
      <c r="S28" s="3"/>
      <c r="T28" s="3"/>
      <c r="U28" s="3"/>
      <c r="V28" s="3"/>
    </row>
    <row r="29" spans="1:22" x14ac:dyDescent="0.3">
      <c r="A29" s="3"/>
      <c r="B29" s="3"/>
      <c r="C29" s="3"/>
      <c r="D29" s="3"/>
      <c r="E29" s="3"/>
      <c r="F29" s="3"/>
      <c r="G29" s="3"/>
      <c r="H29" s="3"/>
      <c r="I29" s="3"/>
      <c r="J29" s="3"/>
      <c r="K29" s="3"/>
      <c r="L29" s="3"/>
      <c r="M29" s="3"/>
      <c r="N29" s="3"/>
      <c r="O29" s="3"/>
      <c r="P29" s="3"/>
      <c r="Q29" s="3"/>
      <c r="R29" s="3"/>
      <c r="S29" s="3"/>
      <c r="T29" s="3"/>
      <c r="U29" s="3"/>
      <c r="V29" s="3"/>
    </row>
    <row r="30" spans="1:22" x14ac:dyDescent="0.3">
      <c r="A30" s="3"/>
      <c r="B30" s="3"/>
      <c r="C30" s="3"/>
      <c r="D30" s="3"/>
      <c r="E30" s="3"/>
      <c r="F30" s="3"/>
      <c r="G30" s="3"/>
      <c r="H30" s="3"/>
      <c r="I30" s="3"/>
      <c r="J30" s="3"/>
      <c r="K30" s="3"/>
      <c r="L30" s="3"/>
      <c r="M30" s="3"/>
      <c r="N30" s="3"/>
      <c r="O30" s="3"/>
      <c r="P30" s="3"/>
      <c r="Q30" s="3"/>
      <c r="R30" s="3"/>
      <c r="S30" s="3"/>
      <c r="T30" s="3"/>
      <c r="U30" s="3"/>
      <c r="V30" s="3"/>
    </row>
    <row r="31" spans="1:22" x14ac:dyDescent="0.3">
      <c r="A31" s="3"/>
      <c r="B31" s="3"/>
      <c r="C31" s="3"/>
      <c r="D31" s="3"/>
      <c r="E31" s="3"/>
      <c r="F31" s="3"/>
      <c r="G31" s="3"/>
      <c r="H31" s="3"/>
      <c r="I31" s="3"/>
      <c r="J31" s="3"/>
      <c r="K31" s="3"/>
      <c r="L31" s="3"/>
      <c r="M31" s="3"/>
      <c r="N31" s="3"/>
      <c r="O31" s="3"/>
      <c r="P31" s="3"/>
      <c r="Q31" s="3"/>
      <c r="R31" s="3"/>
      <c r="S31" s="3"/>
      <c r="T31" s="3"/>
      <c r="U31" s="3"/>
      <c r="V31" s="3"/>
    </row>
    <row r="32" spans="1:22" x14ac:dyDescent="0.3">
      <c r="A32" s="3"/>
      <c r="B32" s="3"/>
      <c r="C32" s="3"/>
      <c r="D32" s="3"/>
      <c r="E32" s="3"/>
      <c r="F32" s="3"/>
      <c r="G32" s="3"/>
      <c r="H32" s="3"/>
      <c r="I32" s="3"/>
      <c r="J32" s="3"/>
      <c r="K32" s="3"/>
      <c r="L32" s="3"/>
      <c r="M32" s="3"/>
      <c r="N32" s="3"/>
      <c r="O32" s="3"/>
      <c r="P32" s="3"/>
      <c r="Q32" s="3"/>
      <c r="R32" s="3"/>
      <c r="S32" s="3"/>
      <c r="T32" s="3"/>
      <c r="U32" s="3"/>
      <c r="V32" s="3"/>
    </row>
    <row r="33" spans="1:22" x14ac:dyDescent="0.3">
      <c r="A33" s="3"/>
      <c r="B33" s="3"/>
      <c r="C33" s="3"/>
      <c r="D33" s="3"/>
      <c r="E33" s="3"/>
      <c r="F33" s="3"/>
      <c r="G33" s="3"/>
      <c r="H33" s="3"/>
      <c r="I33" s="3"/>
      <c r="J33" s="3"/>
      <c r="K33" s="3"/>
      <c r="L33" s="3"/>
      <c r="M33" s="3"/>
      <c r="N33" s="3"/>
      <c r="O33" s="3"/>
      <c r="P33" s="3"/>
      <c r="Q33" s="3"/>
      <c r="R33" s="3"/>
      <c r="S33" s="3"/>
      <c r="T33" s="3"/>
      <c r="U33" s="3"/>
      <c r="V33" s="3"/>
    </row>
    <row r="34" spans="1:22" x14ac:dyDescent="0.3">
      <c r="A34" s="3"/>
      <c r="B34" s="3"/>
      <c r="C34" s="3"/>
      <c r="D34" s="3"/>
      <c r="E34" s="3"/>
      <c r="F34" s="3"/>
      <c r="G34" s="3"/>
      <c r="H34" s="3"/>
      <c r="I34" s="3"/>
      <c r="J34" s="3"/>
      <c r="K34" s="3"/>
      <c r="L34" s="3"/>
      <c r="M34" s="3"/>
      <c r="N34" s="3"/>
      <c r="O34" s="3"/>
      <c r="P34" s="3"/>
      <c r="Q34" s="3"/>
      <c r="R34" s="3"/>
      <c r="S34" s="3"/>
      <c r="T34" s="3"/>
      <c r="U34" s="3"/>
      <c r="V34" s="3"/>
    </row>
    <row r="35" spans="1:22" x14ac:dyDescent="0.3">
      <c r="A35" s="3"/>
      <c r="B35" s="3"/>
      <c r="C35" s="3"/>
      <c r="D35" s="3"/>
      <c r="E35" s="3"/>
      <c r="F35" s="3"/>
      <c r="G35" s="3"/>
      <c r="H35" s="3"/>
      <c r="I35" s="3"/>
      <c r="J35" s="3"/>
      <c r="K35" s="3"/>
      <c r="L35" s="3"/>
      <c r="M35" s="3"/>
      <c r="N35" s="3"/>
      <c r="O35" s="3"/>
      <c r="P35" s="3"/>
      <c r="Q35" s="3"/>
      <c r="R35" s="3"/>
      <c r="S35" s="3"/>
      <c r="T35" s="3"/>
      <c r="U35" s="3"/>
      <c r="V35" s="3"/>
    </row>
    <row r="36" spans="1:22" x14ac:dyDescent="0.3">
      <c r="A36" s="3"/>
      <c r="B36" s="3"/>
      <c r="C36" s="3"/>
      <c r="D36" s="3"/>
      <c r="E36" s="3"/>
      <c r="F36" s="3"/>
      <c r="G36" s="3"/>
      <c r="H36" s="3"/>
      <c r="I36" s="3"/>
      <c r="J36" s="3"/>
      <c r="K36" s="3"/>
      <c r="L36" s="3"/>
      <c r="M36" s="3"/>
      <c r="N36" s="3"/>
      <c r="O36" s="3"/>
      <c r="P36" s="3"/>
      <c r="Q36" s="3"/>
      <c r="R36" s="3"/>
      <c r="S36" s="3"/>
      <c r="T36" s="3"/>
      <c r="U36" s="3"/>
      <c r="V36" s="3"/>
    </row>
    <row r="37" spans="1:22" x14ac:dyDescent="0.3">
      <c r="A37" s="3"/>
      <c r="B37" s="3"/>
      <c r="C37" s="3"/>
      <c r="D37" s="3"/>
      <c r="E37" s="3"/>
      <c r="F37" s="3"/>
      <c r="G37" s="3"/>
      <c r="H37" s="3"/>
      <c r="I37" s="3"/>
      <c r="J37" s="3"/>
      <c r="K37" s="3"/>
      <c r="L37" s="3"/>
      <c r="M37" s="3"/>
      <c r="N37" s="3"/>
      <c r="O37" s="3"/>
      <c r="P37" s="3"/>
      <c r="Q37" s="3"/>
      <c r="R37" s="3"/>
      <c r="S37" s="3"/>
      <c r="T37" s="3"/>
      <c r="U37" s="3"/>
      <c r="V37" s="3"/>
    </row>
    <row r="38" spans="1:22" x14ac:dyDescent="0.3">
      <c r="A38" s="3"/>
      <c r="B38" s="3"/>
      <c r="C38" s="3"/>
      <c r="D38" s="3"/>
      <c r="E38" s="3"/>
      <c r="F38" s="3"/>
      <c r="G38" s="3"/>
      <c r="H38" s="3"/>
      <c r="I38" s="3"/>
      <c r="J38" s="3"/>
      <c r="K38" s="3"/>
      <c r="L38" s="3"/>
      <c r="M38" s="3"/>
      <c r="N38" s="3"/>
      <c r="O38" s="3"/>
      <c r="P38" s="3"/>
      <c r="Q38" s="3"/>
      <c r="R38" s="3"/>
      <c r="S38" s="3"/>
      <c r="T38" s="3"/>
      <c r="U38" s="3"/>
      <c r="V38" s="3"/>
    </row>
    <row r="39" spans="1:22" x14ac:dyDescent="0.3">
      <c r="A39" s="3"/>
      <c r="B39" s="3"/>
      <c r="C39" s="3"/>
      <c r="D39" s="3"/>
      <c r="E39" s="3"/>
      <c r="F39" s="3"/>
      <c r="G39" s="3"/>
      <c r="H39" s="3"/>
      <c r="I39" s="3"/>
      <c r="J39" s="3"/>
      <c r="K39" s="3"/>
      <c r="L39" s="3"/>
      <c r="M39" s="3"/>
      <c r="N39" s="3"/>
      <c r="O39" s="3"/>
      <c r="P39" s="3"/>
      <c r="Q39" s="3"/>
      <c r="R39" s="3"/>
      <c r="S39" s="3"/>
      <c r="T39" s="3"/>
      <c r="U39" s="3"/>
      <c r="V39" s="3"/>
    </row>
    <row r="40" spans="1:22" x14ac:dyDescent="0.3">
      <c r="A40" s="3"/>
      <c r="B40" s="3"/>
      <c r="C40" s="3"/>
      <c r="D40" s="3"/>
      <c r="E40" s="3"/>
      <c r="F40" s="3"/>
      <c r="G40" s="3"/>
      <c r="H40" s="3"/>
      <c r="I40" s="3"/>
      <c r="J40" s="3"/>
      <c r="K40" s="3"/>
      <c r="L40" s="3"/>
      <c r="M40" s="3"/>
      <c r="N40" s="3"/>
      <c r="O40" s="3"/>
      <c r="P40" s="3"/>
      <c r="Q40" s="3"/>
      <c r="R40" s="3"/>
      <c r="S40" s="3"/>
      <c r="T40" s="3"/>
      <c r="U40" s="3"/>
      <c r="V40" s="3"/>
    </row>
    <row r="41" spans="1:22" x14ac:dyDescent="0.3">
      <c r="A41" s="3"/>
      <c r="B41" s="3"/>
      <c r="C41" s="3"/>
      <c r="D41" s="3"/>
      <c r="E41" s="3"/>
      <c r="F41" s="3"/>
      <c r="G41" s="3"/>
      <c r="H41" s="3"/>
      <c r="I41" s="3"/>
      <c r="J41" s="3"/>
      <c r="K41" s="3"/>
      <c r="L41" s="3"/>
      <c r="M41" s="3"/>
      <c r="N41" s="3"/>
      <c r="O41" s="3"/>
      <c r="P41" s="3"/>
      <c r="Q41" s="3"/>
      <c r="R41" s="3"/>
      <c r="S41" s="3"/>
      <c r="T41" s="3"/>
      <c r="U41" s="3"/>
      <c r="V41" s="3"/>
    </row>
  </sheetData>
  <pageMargins left="0.7" right="0.7" top="0.75" bottom="0.75" header="0.3" footer="0.3"/>
  <pageSetup orientation="portrait" horizontalDpi="1200" verticalDpi="1200"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013A8-708C-4268-A324-1B7AB0785708}">
  <dimension ref="A1:S47"/>
  <sheetViews>
    <sheetView workbookViewId="0"/>
  </sheetViews>
  <sheetFormatPr defaultRowHeight="14.4"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row r="28" spans="1:19" x14ac:dyDescent="0.3">
      <c r="A28" s="6"/>
      <c r="B28" s="6"/>
      <c r="C28" s="6"/>
      <c r="D28" s="6"/>
      <c r="E28" s="6" t="s">
        <v>37</v>
      </c>
      <c r="F28" s="6"/>
      <c r="G28" s="6"/>
      <c r="H28" s="6"/>
      <c r="I28" s="6"/>
      <c r="J28" s="6"/>
      <c r="K28" s="6"/>
      <c r="L28" s="6"/>
      <c r="M28" s="6"/>
      <c r="N28" s="6"/>
      <c r="O28" s="6"/>
      <c r="P28" s="6"/>
      <c r="Q28" s="6"/>
      <c r="R28" s="6"/>
      <c r="S28" s="6"/>
    </row>
    <row r="29" spans="1:19" x14ac:dyDescent="0.3">
      <c r="A29" s="6"/>
      <c r="B29" s="6"/>
      <c r="C29" s="6"/>
      <c r="D29" s="6"/>
      <c r="E29" s="6"/>
      <c r="F29" s="6"/>
      <c r="G29" s="6"/>
      <c r="H29" s="6"/>
      <c r="I29" s="6"/>
      <c r="J29" s="6"/>
      <c r="K29" s="6"/>
      <c r="L29" s="6"/>
      <c r="M29" s="6"/>
      <c r="N29" s="6"/>
      <c r="O29" s="6"/>
      <c r="P29" s="6"/>
      <c r="Q29" s="6"/>
      <c r="R29" s="6"/>
      <c r="S29" s="6"/>
    </row>
    <row r="30" spans="1:19" x14ac:dyDescent="0.3">
      <c r="A30" s="6"/>
      <c r="B30" s="6"/>
      <c r="C30" s="6"/>
      <c r="D30" s="6"/>
      <c r="E30" s="6"/>
      <c r="F30" s="6"/>
      <c r="G30" s="6"/>
      <c r="H30" s="6"/>
      <c r="I30" s="6"/>
      <c r="J30" s="6"/>
      <c r="K30" s="6"/>
      <c r="L30" s="6"/>
      <c r="M30" s="6"/>
      <c r="N30" s="6"/>
      <c r="O30" s="6"/>
      <c r="P30" s="6"/>
      <c r="Q30" s="6"/>
      <c r="R30" s="6"/>
      <c r="S30" s="6"/>
    </row>
    <row r="31" spans="1:19" x14ac:dyDescent="0.3">
      <c r="A31" s="6"/>
      <c r="B31" s="6"/>
      <c r="C31" s="6"/>
      <c r="D31" s="6"/>
      <c r="E31" s="6"/>
      <c r="F31" s="6"/>
      <c r="G31" s="6"/>
      <c r="H31" s="6"/>
      <c r="I31" s="6"/>
      <c r="J31" s="6"/>
      <c r="K31" s="6"/>
      <c r="L31" s="6"/>
      <c r="M31" s="6"/>
      <c r="N31" s="6"/>
      <c r="O31" s="6"/>
      <c r="P31" s="6"/>
      <c r="Q31" s="6"/>
      <c r="R31" s="6"/>
      <c r="S31" s="6"/>
    </row>
    <row r="32" spans="1:19" x14ac:dyDescent="0.3">
      <c r="A32" s="6"/>
      <c r="B32" s="6"/>
      <c r="C32" s="6"/>
      <c r="D32" s="6"/>
      <c r="E32" s="6"/>
      <c r="F32" s="6"/>
      <c r="G32" s="6"/>
      <c r="H32" s="6"/>
      <c r="I32" s="6"/>
      <c r="J32" s="6"/>
      <c r="K32" s="6"/>
      <c r="L32" s="6"/>
      <c r="M32" s="6"/>
      <c r="N32" s="6"/>
      <c r="O32" s="6"/>
      <c r="P32" s="6"/>
      <c r="Q32" s="6"/>
      <c r="R32" s="6"/>
      <c r="S32" s="6"/>
    </row>
    <row r="33" spans="1:19" x14ac:dyDescent="0.3">
      <c r="A33" s="6"/>
      <c r="B33" s="6"/>
      <c r="C33" s="6"/>
      <c r="D33" s="6"/>
      <c r="E33" s="6"/>
      <c r="F33" s="6"/>
      <c r="G33" s="6"/>
      <c r="H33" s="6"/>
      <c r="I33" s="6"/>
      <c r="J33" s="6"/>
      <c r="K33" s="6"/>
      <c r="L33" s="6"/>
      <c r="M33" s="6"/>
      <c r="N33" s="6"/>
      <c r="O33" s="6"/>
      <c r="P33" s="6"/>
      <c r="Q33" s="6"/>
      <c r="R33" s="6"/>
      <c r="S33" s="6"/>
    </row>
    <row r="34" spans="1:19" x14ac:dyDescent="0.3">
      <c r="A34" s="6"/>
      <c r="B34" s="6"/>
      <c r="C34" s="6"/>
      <c r="D34" s="6"/>
      <c r="E34" s="6"/>
      <c r="F34" s="6"/>
      <c r="G34" s="6"/>
      <c r="H34" s="6"/>
      <c r="I34" s="6"/>
      <c r="J34" s="6"/>
      <c r="K34" s="6"/>
      <c r="L34" s="6"/>
      <c r="M34" s="6"/>
      <c r="N34" s="6"/>
      <c r="O34" s="6"/>
      <c r="P34" s="6"/>
      <c r="Q34" s="6"/>
      <c r="R34" s="6"/>
      <c r="S34" s="6"/>
    </row>
    <row r="35" spans="1:19" x14ac:dyDescent="0.3">
      <c r="A35" s="6"/>
      <c r="B35" s="6"/>
      <c r="C35" s="6"/>
      <c r="D35" s="6"/>
      <c r="E35" s="6"/>
      <c r="F35" s="6"/>
      <c r="G35" s="6"/>
      <c r="H35" s="6"/>
      <c r="I35" s="6"/>
      <c r="J35" s="6"/>
      <c r="K35" s="6"/>
      <c r="L35" s="6"/>
      <c r="M35" s="6"/>
      <c r="N35" s="6"/>
      <c r="O35" s="6"/>
      <c r="P35" s="6"/>
      <c r="Q35" s="6"/>
      <c r="R35" s="6"/>
      <c r="S35" s="6"/>
    </row>
    <row r="36" spans="1:19" x14ac:dyDescent="0.3">
      <c r="A36" s="6"/>
      <c r="B36" s="6"/>
      <c r="C36" s="6"/>
      <c r="D36" s="6"/>
      <c r="E36" s="6"/>
      <c r="F36" s="6"/>
      <c r="G36" s="6"/>
      <c r="H36" s="6"/>
      <c r="I36" s="6"/>
      <c r="J36" s="6"/>
      <c r="K36" s="6"/>
      <c r="L36" s="6"/>
      <c r="M36" s="6"/>
      <c r="N36" s="6"/>
      <c r="O36" s="6"/>
      <c r="P36" s="6"/>
      <c r="Q36" s="6"/>
      <c r="R36" s="6"/>
      <c r="S36" s="6"/>
    </row>
    <row r="37" spans="1:19" x14ac:dyDescent="0.3">
      <c r="A37" s="6"/>
      <c r="B37" s="6"/>
      <c r="C37" s="6"/>
      <c r="D37" s="6"/>
      <c r="E37" s="6"/>
      <c r="F37" s="6"/>
      <c r="G37" s="6"/>
      <c r="H37" s="6"/>
      <c r="I37" s="6"/>
      <c r="J37" s="6"/>
      <c r="K37" s="6"/>
      <c r="L37" s="6"/>
      <c r="M37" s="6"/>
      <c r="N37" s="6"/>
      <c r="O37" s="6"/>
      <c r="P37" s="6"/>
      <c r="Q37" s="6"/>
      <c r="R37" s="6"/>
      <c r="S37" s="6"/>
    </row>
    <row r="38" spans="1:19" x14ac:dyDescent="0.3">
      <c r="A38" s="6"/>
      <c r="B38" s="6"/>
      <c r="C38" s="6"/>
      <c r="D38" s="6"/>
      <c r="E38" s="6"/>
      <c r="F38" s="6"/>
      <c r="G38" s="6"/>
      <c r="H38" s="6"/>
      <c r="I38" s="6"/>
      <c r="J38" s="6"/>
      <c r="K38" s="6"/>
      <c r="L38" s="6"/>
      <c r="M38" s="6"/>
      <c r="N38" s="6"/>
      <c r="O38" s="6"/>
      <c r="P38" s="6"/>
      <c r="Q38" s="6"/>
      <c r="R38" s="6"/>
      <c r="S38" s="6"/>
    </row>
    <row r="39" spans="1:19" x14ac:dyDescent="0.3">
      <c r="A39" s="6"/>
      <c r="B39" s="6"/>
      <c r="C39" s="6"/>
      <c r="D39" s="6"/>
      <c r="E39" s="6"/>
      <c r="F39" s="6"/>
      <c r="G39" s="6"/>
      <c r="H39" s="6"/>
      <c r="I39" s="6"/>
      <c r="J39" s="6"/>
      <c r="K39" s="6"/>
      <c r="L39" s="6"/>
      <c r="M39" s="6"/>
      <c r="N39" s="6"/>
      <c r="O39" s="6"/>
      <c r="P39" s="6"/>
      <c r="Q39" s="6"/>
      <c r="R39" s="6"/>
      <c r="S39" s="6"/>
    </row>
    <row r="40" spans="1:19" x14ac:dyDescent="0.3">
      <c r="A40" s="6"/>
      <c r="B40" s="6"/>
      <c r="C40" s="6"/>
      <c r="D40" s="6"/>
      <c r="E40" s="6"/>
      <c r="F40" s="6"/>
      <c r="G40" s="6"/>
      <c r="H40" s="6"/>
      <c r="I40" s="6"/>
      <c r="J40" s="6"/>
      <c r="K40" s="6"/>
      <c r="L40" s="6"/>
      <c r="M40" s="6"/>
      <c r="N40" s="6"/>
      <c r="O40" s="6"/>
      <c r="P40" s="6"/>
      <c r="Q40" s="6"/>
      <c r="R40" s="6"/>
      <c r="S40" s="6"/>
    </row>
    <row r="41" spans="1:19" x14ac:dyDescent="0.3">
      <c r="A41" s="6"/>
      <c r="B41" s="6"/>
      <c r="C41" s="6"/>
      <c r="D41" s="6"/>
      <c r="E41" s="6"/>
      <c r="F41" s="6"/>
      <c r="G41" s="6"/>
      <c r="H41" s="6"/>
      <c r="I41" s="6"/>
      <c r="J41" s="6"/>
      <c r="K41" s="6"/>
      <c r="L41" s="6"/>
      <c r="M41" s="6"/>
      <c r="N41" s="6"/>
      <c r="O41" s="6"/>
      <c r="P41" s="6"/>
      <c r="Q41" s="6"/>
      <c r="R41" s="6"/>
      <c r="S41" s="6"/>
    </row>
    <row r="42" spans="1:19" x14ac:dyDescent="0.3">
      <c r="A42" s="6"/>
      <c r="B42" s="6"/>
      <c r="C42" s="6"/>
      <c r="D42" s="6"/>
      <c r="E42" s="6"/>
      <c r="F42" s="6"/>
      <c r="G42" s="6"/>
      <c r="H42" s="6"/>
      <c r="I42" s="6"/>
      <c r="J42" s="6"/>
      <c r="K42" s="6"/>
      <c r="L42" s="6"/>
      <c r="M42" s="6"/>
      <c r="N42" s="6"/>
      <c r="O42" s="6"/>
      <c r="P42" s="6"/>
      <c r="Q42" s="6"/>
      <c r="R42" s="6"/>
      <c r="S42" s="6"/>
    </row>
    <row r="43" spans="1:19" x14ac:dyDescent="0.3">
      <c r="A43" s="6"/>
      <c r="B43" s="6"/>
      <c r="C43" s="6"/>
      <c r="D43" s="6"/>
      <c r="E43" s="6"/>
      <c r="F43" s="6"/>
      <c r="G43" s="6"/>
      <c r="H43" s="6"/>
      <c r="I43" s="6"/>
      <c r="J43" s="6"/>
      <c r="K43" s="6"/>
      <c r="L43" s="6"/>
      <c r="M43" s="6"/>
      <c r="N43" s="6"/>
      <c r="O43" s="6"/>
      <c r="P43" s="6"/>
      <c r="Q43" s="6"/>
      <c r="R43" s="6"/>
      <c r="S43" s="6"/>
    </row>
    <row r="44" spans="1:19" x14ac:dyDescent="0.3">
      <c r="A44" s="6"/>
      <c r="B44" s="6"/>
      <c r="C44" s="6"/>
      <c r="D44" s="6"/>
      <c r="E44" s="6"/>
      <c r="F44" s="6"/>
      <c r="G44" s="6"/>
      <c r="H44" s="6"/>
      <c r="I44" s="6"/>
      <c r="J44" s="6"/>
      <c r="K44" s="6"/>
      <c r="L44" s="6"/>
      <c r="M44" s="6"/>
      <c r="N44" s="6"/>
      <c r="O44" s="6"/>
      <c r="P44" s="6"/>
      <c r="Q44" s="6"/>
      <c r="R44" s="6"/>
      <c r="S44" s="6"/>
    </row>
    <row r="45" spans="1:19" x14ac:dyDescent="0.3">
      <c r="A45" s="6"/>
      <c r="B45" s="6"/>
      <c r="C45" s="6"/>
      <c r="D45" s="6"/>
      <c r="E45" s="6"/>
      <c r="F45" s="6"/>
      <c r="G45" s="6"/>
      <c r="H45" s="6"/>
      <c r="I45" s="6"/>
      <c r="J45" s="6"/>
      <c r="K45" s="6"/>
      <c r="L45" s="6"/>
      <c r="M45" s="6"/>
      <c r="N45" s="6"/>
      <c r="O45" s="6"/>
      <c r="P45" s="6"/>
      <c r="Q45" s="6"/>
      <c r="R45" s="6"/>
      <c r="S45" s="6"/>
    </row>
    <row r="46" spans="1:19" x14ac:dyDescent="0.3">
      <c r="A46" s="6"/>
      <c r="B46" s="6"/>
      <c r="C46" s="6"/>
      <c r="D46" s="6"/>
      <c r="E46" s="6"/>
      <c r="F46" s="6"/>
      <c r="G46" s="6"/>
      <c r="H46" s="6"/>
      <c r="I46" s="6"/>
      <c r="J46" s="6"/>
      <c r="K46" s="6"/>
      <c r="L46" s="6"/>
      <c r="M46" s="6"/>
      <c r="N46" s="6"/>
      <c r="O46" s="6"/>
      <c r="P46" s="6"/>
      <c r="Q46" s="6"/>
      <c r="R46" s="6"/>
      <c r="S46" s="6"/>
    </row>
    <row r="47" spans="1:19" x14ac:dyDescent="0.3">
      <c r="A47" s="6"/>
      <c r="B47" s="6"/>
      <c r="C47" s="6"/>
      <c r="D47" s="6"/>
      <c r="E47" s="6"/>
      <c r="F47" s="6"/>
      <c r="G47" s="6"/>
      <c r="H47" s="6"/>
      <c r="I47" s="6"/>
      <c r="J47" s="6"/>
      <c r="K47" s="6"/>
      <c r="L47" s="6"/>
      <c r="M47" s="6"/>
      <c r="N47" s="6"/>
      <c r="O47" s="6"/>
      <c r="P47" s="6"/>
      <c r="Q47" s="6"/>
      <c r="R47" s="6"/>
      <c r="S47"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2D415-3385-4B74-9F3F-0982407BF852}">
  <dimension ref="A1:P26"/>
  <sheetViews>
    <sheetView workbookViewId="0"/>
  </sheetViews>
  <sheetFormatPr defaultRowHeight="14.4" x14ac:dyDescent="0.3"/>
  <sheetData>
    <row r="1" spans="1:16" x14ac:dyDescent="0.3">
      <c r="A1" s="7"/>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row r="7" spans="1:16" x14ac:dyDescent="0.3">
      <c r="A7" s="7"/>
      <c r="B7" s="7"/>
      <c r="C7" s="7"/>
      <c r="D7" s="7"/>
      <c r="E7" s="7"/>
      <c r="F7" s="7"/>
      <c r="G7" s="7"/>
      <c r="H7" s="7"/>
      <c r="I7" s="7"/>
      <c r="J7" s="7"/>
      <c r="K7" s="7"/>
      <c r="L7" s="7"/>
      <c r="M7" s="7"/>
      <c r="N7" s="7"/>
      <c r="O7" s="7"/>
      <c r="P7" s="7"/>
    </row>
    <row r="8" spans="1:16" x14ac:dyDescent="0.3">
      <c r="A8" s="7"/>
      <c r="B8" s="7"/>
      <c r="C8" s="7"/>
      <c r="D8" s="7"/>
      <c r="E8" s="7"/>
      <c r="F8" s="7"/>
      <c r="G8" s="7"/>
      <c r="H8" s="7"/>
      <c r="I8" s="7"/>
      <c r="J8" s="7"/>
      <c r="K8" s="7"/>
      <c r="L8" s="7"/>
      <c r="M8" s="7"/>
      <c r="N8" s="7"/>
      <c r="O8" s="7"/>
      <c r="P8" s="7"/>
    </row>
    <row r="9" spans="1:16" x14ac:dyDescent="0.3">
      <c r="A9" s="7"/>
      <c r="B9" s="7"/>
      <c r="C9" s="7"/>
      <c r="D9" s="7"/>
      <c r="E9" s="7"/>
      <c r="F9" s="7"/>
      <c r="G9" s="7"/>
      <c r="H9" s="7"/>
      <c r="I9" s="7"/>
      <c r="J9" s="7"/>
      <c r="K9" s="7"/>
      <c r="L9" s="7"/>
      <c r="M9" s="7"/>
      <c r="N9" s="7"/>
      <c r="O9" s="7"/>
      <c r="P9" s="7"/>
    </row>
    <row r="10" spans="1:16" x14ac:dyDescent="0.3">
      <c r="A10" s="7"/>
      <c r="B10" s="7"/>
      <c r="C10" s="7"/>
      <c r="D10" s="7"/>
      <c r="E10" s="7"/>
      <c r="F10" s="7"/>
      <c r="G10" s="7"/>
      <c r="H10" s="7"/>
      <c r="I10" s="7"/>
      <c r="J10" s="7"/>
      <c r="K10" s="7"/>
      <c r="L10" s="7"/>
      <c r="M10" s="7"/>
      <c r="N10" s="7"/>
      <c r="O10" s="7"/>
      <c r="P10" s="7"/>
    </row>
    <row r="11" spans="1:16" x14ac:dyDescent="0.3">
      <c r="A11" s="7"/>
      <c r="B11" s="7"/>
      <c r="C11" s="7"/>
      <c r="D11" s="7"/>
      <c r="E11" s="7"/>
      <c r="F11" s="7"/>
      <c r="G11" s="7"/>
      <c r="H11" s="7"/>
      <c r="I11" s="7"/>
      <c r="J11" s="7"/>
      <c r="K11" s="7"/>
      <c r="L11" s="7"/>
      <c r="M11" s="7"/>
      <c r="N11" s="7"/>
      <c r="O11" s="7"/>
      <c r="P11" s="7"/>
    </row>
    <row r="12" spans="1:16" x14ac:dyDescent="0.3">
      <c r="A12" s="7"/>
      <c r="B12" s="7"/>
      <c r="C12" s="7"/>
      <c r="D12" s="7"/>
      <c r="E12" s="7"/>
      <c r="F12" s="7"/>
      <c r="G12" s="7"/>
      <c r="H12" s="7"/>
      <c r="I12" s="7"/>
      <c r="J12" s="7"/>
      <c r="K12" s="7"/>
      <c r="L12" s="7"/>
      <c r="M12" s="7"/>
      <c r="N12" s="7"/>
      <c r="O12" s="7"/>
      <c r="P12" s="7"/>
    </row>
    <row r="13" spans="1:16" x14ac:dyDescent="0.3">
      <c r="A13" s="7"/>
      <c r="B13" s="7"/>
      <c r="C13" s="7"/>
      <c r="D13" s="7"/>
      <c r="E13" s="7"/>
      <c r="F13" s="7"/>
      <c r="G13" s="7"/>
      <c r="H13" s="7"/>
      <c r="I13" s="7"/>
      <c r="J13" s="7"/>
      <c r="K13" s="7"/>
      <c r="L13" s="7"/>
      <c r="M13" s="7"/>
      <c r="N13" s="7"/>
      <c r="O13" s="7"/>
      <c r="P13" s="7"/>
    </row>
    <row r="14" spans="1:16" x14ac:dyDescent="0.3">
      <c r="A14" s="7"/>
      <c r="B14" s="7"/>
      <c r="C14" s="7"/>
      <c r="D14" s="7"/>
      <c r="E14" s="7"/>
      <c r="F14" s="7"/>
      <c r="G14" s="7"/>
      <c r="H14" s="7"/>
      <c r="I14" s="7"/>
      <c r="J14" s="7"/>
      <c r="K14" s="7"/>
      <c r="L14" s="7"/>
      <c r="M14" s="7"/>
      <c r="N14" s="7"/>
      <c r="O14" s="7"/>
      <c r="P14" s="7"/>
    </row>
    <row r="15" spans="1:16" x14ac:dyDescent="0.3">
      <c r="A15" s="7"/>
      <c r="B15" s="7"/>
      <c r="C15" s="7"/>
      <c r="D15" s="7"/>
      <c r="E15" s="7"/>
      <c r="F15" s="7"/>
      <c r="G15" s="7"/>
      <c r="H15" s="7"/>
      <c r="I15" s="7"/>
      <c r="J15" s="7"/>
      <c r="K15" s="7"/>
      <c r="L15" s="7"/>
      <c r="M15" s="7"/>
      <c r="N15" s="7"/>
      <c r="O15" s="7"/>
      <c r="P15" s="7"/>
    </row>
    <row r="16" spans="1:16" x14ac:dyDescent="0.3">
      <c r="A16" s="7"/>
      <c r="B16" s="7"/>
      <c r="C16" s="7"/>
      <c r="D16" s="7"/>
      <c r="E16" s="7"/>
      <c r="F16" s="7"/>
      <c r="G16" s="7"/>
      <c r="H16" s="7"/>
      <c r="I16" s="7"/>
      <c r="J16" s="7"/>
      <c r="K16" s="7"/>
      <c r="L16" s="7"/>
      <c r="M16" s="7"/>
      <c r="N16" s="7"/>
      <c r="O16" s="7"/>
      <c r="P16" s="7"/>
    </row>
    <row r="17" spans="1:16" x14ac:dyDescent="0.3">
      <c r="A17" s="7"/>
      <c r="B17" s="7"/>
      <c r="C17" s="7"/>
      <c r="D17" s="7"/>
      <c r="E17" s="7"/>
      <c r="F17" s="7"/>
      <c r="G17" s="7"/>
      <c r="H17" s="7"/>
      <c r="I17" s="7"/>
      <c r="J17" s="7"/>
      <c r="K17" s="7"/>
      <c r="L17" s="7"/>
      <c r="M17" s="7"/>
      <c r="N17" s="7"/>
      <c r="O17" s="7"/>
      <c r="P17" s="7"/>
    </row>
    <row r="18" spans="1:16" x14ac:dyDescent="0.3">
      <c r="A18" s="7"/>
      <c r="B18" s="7"/>
      <c r="C18" s="7"/>
      <c r="D18" s="7"/>
      <c r="E18" s="7"/>
      <c r="F18" s="7"/>
      <c r="G18" s="7"/>
      <c r="H18" s="7"/>
      <c r="I18" s="7"/>
      <c r="J18" s="7"/>
      <c r="K18" s="7"/>
      <c r="L18" s="7"/>
      <c r="M18" s="7"/>
      <c r="N18" s="7"/>
      <c r="O18" s="7"/>
      <c r="P18" s="7"/>
    </row>
    <row r="19" spans="1:16" x14ac:dyDescent="0.3">
      <c r="A19" s="7"/>
      <c r="B19" s="7"/>
      <c r="C19" s="7"/>
      <c r="D19" s="7"/>
      <c r="E19" s="7"/>
      <c r="F19" s="7"/>
      <c r="G19" s="7"/>
      <c r="H19" s="7"/>
      <c r="I19" s="7"/>
      <c r="J19" s="7"/>
      <c r="K19" s="7"/>
      <c r="L19" s="7"/>
      <c r="M19" s="7"/>
      <c r="N19" s="7"/>
      <c r="O19" s="7"/>
      <c r="P19" s="7"/>
    </row>
    <row r="20" spans="1:16" x14ac:dyDescent="0.3">
      <c r="A20" s="7"/>
      <c r="B20" s="7"/>
      <c r="C20" s="7"/>
      <c r="D20" s="7"/>
      <c r="E20" s="7"/>
      <c r="F20" s="7"/>
      <c r="G20" s="7"/>
      <c r="H20" s="7"/>
      <c r="I20" s="7"/>
      <c r="J20" s="7"/>
      <c r="K20" s="7"/>
      <c r="L20" s="7"/>
      <c r="M20" s="7"/>
      <c r="N20" s="7"/>
      <c r="O20" s="7"/>
      <c r="P20" s="7"/>
    </row>
    <row r="21" spans="1:16" x14ac:dyDescent="0.3">
      <c r="A21" s="7"/>
      <c r="B21" s="7"/>
      <c r="C21" s="7"/>
      <c r="D21" s="7"/>
      <c r="E21" s="7"/>
      <c r="F21" s="7"/>
      <c r="G21" s="7"/>
      <c r="H21" s="7"/>
      <c r="I21" s="7"/>
      <c r="J21" s="7"/>
      <c r="K21" s="7"/>
      <c r="L21" s="7"/>
      <c r="M21" s="7"/>
      <c r="N21" s="7"/>
      <c r="O21" s="7"/>
      <c r="P21" s="7"/>
    </row>
    <row r="22" spans="1:16" x14ac:dyDescent="0.3">
      <c r="A22" s="7"/>
      <c r="B22" s="7"/>
      <c r="C22" s="7"/>
      <c r="D22" s="7"/>
      <c r="E22" s="7"/>
      <c r="F22" s="7"/>
      <c r="G22" s="7"/>
      <c r="H22" s="7"/>
      <c r="I22" s="7"/>
      <c r="J22" s="7"/>
      <c r="K22" s="7"/>
      <c r="L22" s="7"/>
      <c r="M22" s="7"/>
      <c r="N22" s="7"/>
      <c r="O22" s="7"/>
      <c r="P22" s="7"/>
    </row>
    <row r="23" spans="1:16" x14ac:dyDescent="0.3">
      <c r="A23" s="7"/>
      <c r="B23" s="7"/>
      <c r="C23" s="7"/>
      <c r="D23" s="7"/>
      <c r="E23" s="7"/>
      <c r="F23" s="7"/>
      <c r="G23" s="7"/>
      <c r="H23" s="7"/>
      <c r="I23" s="7"/>
      <c r="J23" s="7"/>
      <c r="K23" s="7"/>
      <c r="L23" s="7"/>
      <c r="M23" s="7"/>
      <c r="N23" s="7"/>
      <c r="O23" s="7"/>
      <c r="P23" s="7"/>
    </row>
    <row r="24" spans="1:16" x14ac:dyDescent="0.3">
      <c r="A24" s="7"/>
      <c r="B24" s="7"/>
      <c r="C24" s="7"/>
      <c r="D24" s="7" t="s">
        <v>40</v>
      </c>
      <c r="E24" s="7"/>
      <c r="F24" s="7"/>
      <c r="G24" s="7"/>
      <c r="H24" s="7"/>
      <c r="I24" s="7"/>
      <c r="J24" s="7"/>
      <c r="K24" s="7"/>
      <c r="L24" s="7"/>
      <c r="M24" s="7"/>
      <c r="N24" s="7"/>
      <c r="O24" s="7"/>
      <c r="P24" s="7"/>
    </row>
    <row r="25" spans="1:16" x14ac:dyDescent="0.3">
      <c r="A25" s="7"/>
      <c r="B25" s="7"/>
      <c r="C25" s="7"/>
      <c r="D25" s="7"/>
      <c r="E25" s="7"/>
      <c r="F25" s="7"/>
      <c r="G25" s="7"/>
      <c r="H25" s="7"/>
      <c r="I25" s="7"/>
      <c r="J25" s="7"/>
      <c r="K25" s="7"/>
      <c r="L25" s="7"/>
      <c r="M25" s="7"/>
      <c r="N25" s="7"/>
      <c r="O25" s="7"/>
      <c r="P25" s="7"/>
    </row>
    <row r="26" spans="1:16" x14ac:dyDescent="0.3">
      <c r="A26" s="7"/>
      <c r="B26" s="7"/>
      <c r="C26" s="7"/>
      <c r="D26" s="7"/>
      <c r="E26" s="7"/>
      <c r="F26" s="7"/>
      <c r="G26" s="7"/>
      <c r="H26" s="7"/>
      <c r="I26" s="7"/>
      <c r="J26" s="7"/>
      <c r="K26" s="7"/>
      <c r="L26" s="7"/>
      <c r="M26" s="7"/>
      <c r="N26" s="7"/>
      <c r="O26" s="7"/>
      <c r="P26"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DA14-9A31-47D5-8FFE-4036AB25EAF6}">
  <dimension ref="A1:P26"/>
  <sheetViews>
    <sheetView workbookViewId="0"/>
  </sheetViews>
  <sheetFormatPr defaultRowHeight="14.4" x14ac:dyDescent="0.3"/>
  <sheetData>
    <row r="1" spans="1:16" x14ac:dyDescent="0.3">
      <c r="A1" s="7"/>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row r="7" spans="1:16" x14ac:dyDescent="0.3">
      <c r="A7" s="7"/>
      <c r="B7" s="7"/>
      <c r="C7" s="7"/>
      <c r="D7" s="7"/>
      <c r="E7" s="7"/>
      <c r="F7" s="7"/>
      <c r="G7" s="7"/>
      <c r="H7" s="7"/>
      <c r="I7" s="7"/>
      <c r="J7" s="7"/>
      <c r="K7" s="7"/>
      <c r="L7" s="7"/>
      <c r="M7" s="7"/>
      <c r="N7" s="7"/>
      <c r="O7" s="7"/>
      <c r="P7" s="7"/>
    </row>
    <row r="8" spans="1:16" x14ac:dyDescent="0.3">
      <c r="A8" s="7"/>
      <c r="B8" s="7"/>
      <c r="C8" s="7"/>
      <c r="D8" s="7"/>
      <c r="E8" s="7"/>
      <c r="F8" s="7"/>
      <c r="G8" s="7"/>
      <c r="H8" s="7"/>
      <c r="I8" s="7"/>
      <c r="J8" s="7"/>
      <c r="K8" s="7"/>
      <c r="L8" s="7"/>
      <c r="M8" s="7"/>
      <c r="N8" s="7"/>
      <c r="O8" s="7"/>
      <c r="P8" s="7"/>
    </row>
    <row r="9" spans="1:16" x14ac:dyDescent="0.3">
      <c r="A9" s="7"/>
      <c r="B9" s="7"/>
      <c r="C9" s="7"/>
      <c r="D9" s="7"/>
      <c r="E9" s="7"/>
      <c r="F9" s="7"/>
      <c r="G9" s="7"/>
      <c r="H9" s="7"/>
      <c r="I9" s="7"/>
      <c r="J9" s="7"/>
      <c r="K9" s="7"/>
      <c r="L9" s="7"/>
      <c r="M9" s="7"/>
      <c r="N9" s="7"/>
      <c r="O9" s="7"/>
      <c r="P9" s="7"/>
    </row>
    <row r="10" spans="1:16" x14ac:dyDescent="0.3">
      <c r="A10" s="7"/>
      <c r="B10" s="7"/>
      <c r="C10" s="7"/>
      <c r="D10" s="7"/>
      <c r="E10" s="7"/>
      <c r="F10" s="7"/>
      <c r="G10" s="7"/>
      <c r="H10" s="7"/>
      <c r="I10" s="7"/>
      <c r="J10" s="7"/>
      <c r="K10" s="7"/>
      <c r="L10" s="7"/>
      <c r="M10" s="7"/>
      <c r="N10" s="7"/>
      <c r="O10" s="7"/>
      <c r="P10" s="7"/>
    </row>
    <row r="11" spans="1:16" x14ac:dyDescent="0.3">
      <c r="A11" s="7"/>
      <c r="B11" s="7"/>
      <c r="C11" s="7"/>
      <c r="D11" s="7"/>
      <c r="E11" s="7"/>
      <c r="F11" s="7"/>
      <c r="G11" s="7"/>
      <c r="H11" s="7"/>
      <c r="I11" s="7"/>
      <c r="J11" s="7"/>
      <c r="K11" s="7"/>
      <c r="L11" s="7"/>
      <c r="M11" s="7"/>
      <c r="N11" s="7"/>
      <c r="O11" s="7"/>
      <c r="P11" s="7"/>
    </row>
    <row r="12" spans="1:16" x14ac:dyDescent="0.3">
      <c r="A12" s="7"/>
      <c r="B12" s="7"/>
      <c r="C12" s="7"/>
      <c r="D12" s="7"/>
      <c r="E12" s="7"/>
      <c r="F12" s="7"/>
      <c r="G12" s="7"/>
      <c r="H12" s="7"/>
      <c r="I12" s="7"/>
      <c r="J12" s="7"/>
      <c r="K12" s="7"/>
      <c r="L12" s="7"/>
      <c r="M12" s="7"/>
      <c r="N12" s="7"/>
      <c r="O12" s="7"/>
      <c r="P12" s="7"/>
    </row>
    <row r="13" spans="1:16" x14ac:dyDescent="0.3">
      <c r="A13" s="7"/>
      <c r="B13" s="7"/>
      <c r="C13" s="7"/>
      <c r="D13" s="7"/>
      <c r="E13" s="7"/>
      <c r="F13" s="7"/>
      <c r="G13" s="7"/>
      <c r="H13" s="7"/>
      <c r="I13" s="7"/>
      <c r="J13" s="7"/>
      <c r="K13" s="7"/>
      <c r="L13" s="7"/>
      <c r="M13" s="7"/>
      <c r="N13" s="7"/>
      <c r="O13" s="7"/>
      <c r="P13" s="7"/>
    </row>
    <row r="14" spans="1:16" x14ac:dyDescent="0.3">
      <c r="A14" s="7"/>
      <c r="B14" s="7"/>
      <c r="C14" s="7"/>
      <c r="D14" s="7"/>
      <c r="E14" s="7"/>
      <c r="F14" s="7"/>
      <c r="G14" s="7"/>
      <c r="H14" s="7"/>
      <c r="I14" s="7"/>
      <c r="J14" s="7"/>
      <c r="K14" s="7"/>
      <c r="L14" s="7"/>
      <c r="M14" s="7"/>
      <c r="N14" s="7"/>
      <c r="O14" s="7"/>
      <c r="P14" s="7"/>
    </row>
    <row r="15" spans="1:16" x14ac:dyDescent="0.3">
      <c r="A15" s="7"/>
      <c r="B15" s="7"/>
      <c r="C15" s="7"/>
      <c r="D15" s="7"/>
      <c r="E15" s="7"/>
      <c r="F15" s="7"/>
      <c r="G15" s="7"/>
      <c r="H15" s="7"/>
      <c r="I15" s="7"/>
      <c r="J15" s="7"/>
      <c r="K15" s="7"/>
      <c r="L15" s="7"/>
      <c r="M15" s="7"/>
      <c r="N15" s="7"/>
      <c r="O15" s="7"/>
      <c r="P15" s="7"/>
    </row>
    <row r="16" spans="1:16" x14ac:dyDescent="0.3">
      <c r="A16" s="7"/>
      <c r="B16" s="7"/>
      <c r="C16" s="7"/>
      <c r="D16" s="7"/>
      <c r="E16" s="7"/>
      <c r="F16" s="7"/>
      <c r="G16" s="7"/>
      <c r="H16" s="7"/>
      <c r="I16" s="7"/>
      <c r="J16" s="7"/>
      <c r="K16" s="7"/>
      <c r="L16" s="7"/>
      <c r="M16" s="7"/>
      <c r="N16" s="7"/>
      <c r="O16" s="7"/>
      <c r="P16" s="7"/>
    </row>
    <row r="17" spans="1:16" x14ac:dyDescent="0.3">
      <c r="A17" s="7"/>
      <c r="B17" s="7"/>
      <c r="C17" s="7"/>
      <c r="D17" s="7"/>
      <c r="E17" s="7"/>
      <c r="F17" s="7"/>
      <c r="G17" s="7"/>
      <c r="H17" s="7"/>
      <c r="I17" s="7"/>
      <c r="J17" s="7"/>
      <c r="K17" s="7"/>
      <c r="L17" s="7"/>
      <c r="M17" s="7"/>
      <c r="N17" s="7"/>
      <c r="O17" s="7"/>
      <c r="P17" s="7"/>
    </row>
    <row r="18" spans="1:16" x14ac:dyDescent="0.3">
      <c r="A18" s="7"/>
      <c r="B18" s="7"/>
      <c r="C18" s="7"/>
      <c r="D18" s="7"/>
      <c r="E18" s="7"/>
      <c r="F18" s="7"/>
      <c r="G18" s="7"/>
      <c r="H18" s="7"/>
      <c r="I18" s="7"/>
      <c r="J18" s="7"/>
      <c r="K18" s="7"/>
      <c r="L18" s="7"/>
      <c r="M18" s="7"/>
      <c r="N18" s="7"/>
      <c r="O18" s="7"/>
      <c r="P18" s="7"/>
    </row>
    <row r="19" spans="1:16" x14ac:dyDescent="0.3">
      <c r="A19" s="7"/>
      <c r="B19" s="7"/>
      <c r="C19" s="7"/>
      <c r="D19" s="7"/>
      <c r="E19" s="7"/>
      <c r="F19" s="7"/>
      <c r="G19" s="7"/>
      <c r="H19" s="7"/>
      <c r="I19" s="7"/>
      <c r="J19" s="7"/>
      <c r="K19" s="7"/>
      <c r="L19" s="7"/>
      <c r="M19" s="7"/>
      <c r="N19" s="7"/>
      <c r="O19" s="7"/>
      <c r="P19" s="7"/>
    </row>
    <row r="20" spans="1:16" x14ac:dyDescent="0.3">
      <c r="A20" s="7"/>
      <c r="B20" s="7"/>
      <c r="C20" s="7"/>
      <c r="D20" s="7"/>
      <c r="E20" s="7"/>
      <c r="F20" s="7"/>
      <c r="G20" s="7"/>
      <c r="H20" s="7"/>
      <c r="I20" s="7"/>
      <c r="J20" s="7"/>
      <c r="K20" s="7"/>
      <c r="L20" s="7"/>
      <c r="M20" s="7"/>
      <c r="N20" s="7"/>
      <c r="O20" s="7"/>
      <c r="P20" s="7"/>
    </row>
    <row r="21" spans="1:16" x14ac:dyDescent="0.3">
      <c r="A21" s="7"/>
      <c r="B21" s="7"/>
      <c r="C21" s="7"/>
      <c r="D21" s="7"/>
      <c r="E21" s="7"/>
      <c r="F21" s="7"/>
      <c r="G21" s="7"/>
      <c r="H21" s="7"/>
      <c r="I21" s="7"/>
      <c r="J21" s="7"/>
      <c r="K21" s="7"/>
      <c r="L21" s="7"/>
      <c r="M21" s="7"/>
      <c r="N21" s="7"/>
      <c r="O21" s="7"/>
      <c r="P21" s="7"/>
    </row>
    <row r="22" spans="1:16" x14ac:dyDescent="0.3">
      <c r="A22" s="7"/>
      <c r="B22" s="7"/>
      <c r="C22" s="7"/>
      <c r="D22" s="7"/>
      <c r="E22" s="7"/>
      <c r="F22" s="7"/>
      <c r="G22" s="7"/>
      <c r="H22" s="7"/>
      <c r="I22" s="7"/>
      <c r="J22" s="7"/>
      <c r="K22" s="7"/>
      <c r="L22" s="7"/>
      <c r="M22" s="7"/>
      <c r="N22" s="7"/>
      <c r="O22" s="7"/>
      <c r="P22" s="7"/>
    </row>
    <row r="23" spans="1:16" x14ac:dyDescent="0.3">
      <c r="A23" s="7"/>
      <c r="B23" s="7"/>
      <c r="C23" s="7"/>
      <c r="D23" s="7"/>
      <c r="E23" s="7"/>
      <c r="F23" s="7"/>
      <c r="G23" s="7"/>
      <c r="H23" s="7"/>
      <c r="I23" s="7"/>
      <c r="J23" s="7"/>
      <c r="K23" s="7"/>
      <c r="L23" s="7"/>
      <c r="M23" s="7"/>
      <c r="N23" s="7"/>
      <c r="O23" s="7"/>
      <c r="P23" s="7"/>
    </row>
    <row r="24" spans="1:16" x14ac:dyDescent="0.3">
      <c r="A24" s="7"/>
      <c r="B24" s="7"/>
      <c r="C24" s="7"/>
      <c r="D24" s="7" t="s">
        <v>41</v>
      </c>
      <c r="E24" s="7"/>
      <c r="F24" s="7"/>
      <c r="G24" s="7"/>
      <c r="H24" s="7"/>
      <c r="I24" s="7"/>
      <c r="J24" s="7"/>
      <c r="K24" s="7"/>
      <c r="L24" s="7"/>
      <c r="M24" s="7"/>
      <c r="N24" s="7"/>
      <c r="O24" s="7"/>
      <c r="P24" s="7"/>
    </row>
    <row r="25" spans="1:16" x14ac:dyDescent="0.3">
      <c r="A25" s="7"/>
      <c r="B25" s="7"/>
      <c r="C25" s="7"/>
      <c r="D25" s="7"/>
      <c r="E25" s="7"/>
      <c r="F25" s="7"/>
      <c r="G25" s="7"/>
      <c r="H25" s="7"/>
      <c r="I25" s="7"/>
      <c r="J25" s="7"/>
      <c r="K25" s="7"/>
      <c r="L25" s="7"/>
      <c r="M25" s="7"/>
      <c r="N25" s="7"/>
      <c r="O25" s="7"/>
      <c r="P25" s="7"/>
    </row>
    <row r="26" spans="1:16" x14ac:dyDescent="0.3">
      <c r="A26" s="7"/>
      <c r="B26" s="7"/>
      <c r="C26" s="7"/>
      <c r="D26" s="7"/>
      <c r="E26" s="7"/>
      <c r="F26" s="7"/>
      <c r="G26" s="7"/>
      <c r="H26" s="7"/>
      <c r="I26" s="7"/>
      <c r="J26" s="7"/>
      <c r="K26" s="7"/>
      <c r="L26" s="7"/>
      <c r="M26" s="7"/>
      <c r="N26" s="7"/>
      <c r="O26" s="7"/>
      <c r="P26"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029F989-4D29-48F2-BAF6-E69395F993E7}">
  <ds:schemaRefs>
    <ds:schemaRef ds:uri="http://schemas.microsoft.com/DataMashup"/>
  </ds:schemaRefs>
</ds:datastoreItem>
</file>

<file path=customXml/itemProps2.xml><?xml version="1.0" encoding="utf-8"?>
<ds:datastoreItem xmlns:ds="http://schemas.openxmlformats.org/officeDocument/2006/customXml" ds:itemID="{9DC64C87-B93A-491D-B52F-94736150DD12}">
  <ds:schemaRefs/>
</ds:datastoreItem>
</file>

<file path=customXml/itemProps3.xml><?xml version="1.0" encoding="utf-8"?>
<ds:datastoreItem xmlns:ds="http://schemas.openxmlformats.org/officeDocument/2006/customXml" ds:itemID="{91557196-5816-4323-A3C7-FFF740515259}">
  <ds:schemaRefs/>
</ds:datastoreItem>
</file>

<file path=customXml/itemProps4.xml><?xml version="1.0" encoding="utf-8"?>
<ds:datastoreItem xmlns:ds="http://schemas.openxmlformats.org/officeDocument/2006/customXml" ds:itemID="{3F723901-4917-4607-91B8-44B47D0656B0}">
  <ds:schemaRefs/>
</ds:datastoreItem>
</file>

<file path=customXml/itemProps5.xml><?xml version="1.0" encoding="utf-8"?>
<ds:datastoreItem xmlns:ds="http://schemas.openxmlformats.org/officeDocument/2006/customXml" ds:itemID="{54F5EF2D-AE9C-409D-8853-11576CC2E3C5}">
  <ds:schemaRefs/>
</ds:datastoreItem>
</file>

<file path=customXml/itemProps6.xml><?xml version="1.0" encoding="utf-8"?>
<ds:datastoreItem xmlns:ds="http://schemas.openxmlformats.org/officeDocument/2006/customXml" ds:itemID="{27CF9870-F4B2-4F76-9404-89870CFCA7D2}">
  <ds:schemaRefs/>
</ds:datastoreItem>
</file>

<file path=customXml/itemProps7.xml><?xml version="1.0" encoding="utf-8"?>
<ds:datastoreItem xmlns:ds="http://schemas.openxmlformats.org/officeDocument/2006/customXml" ds:itemID="{8002F908-7447-470F-B87F-4562B353A133}">
  <ds:schemaRefs/>
</ds:datastoreItem>
</file>

<file path=customXml/itemProps8.xml><?xml version="1.0" encoding="utf-8"?>
<ds:datastoreItem xmlns:ds="http://schemas.openxmlformats.org/officeDocument/2006/customXml" ds:itemID="{8FC3E519-51C7-41DC-A716-701AFF7AF572}">
  <ds:schemaRefs/>
</ds:datastoreItem>
</file>

<file path=customXml/itemProps9.xml><?xml version="1.0" encoding="utf-8"?>
<ds:datastoreItem xmlns:ds="http://schemas.openxmlformats.org/officeDocument/2006/customXml" ds:itemID="{244C864A-45CA-4C28-B3D2-15878E8FD84A}">
  <ds:schemaRefs/>
</ds:datastoreItem>
</file>

<file path=customXml/itemProps10.xml><?xml version="1.0" encoding="utf-8"?>
<ds:datastoreItem xmlns:ds="http://schemas.openxmlformats.org/officeDocument/2006/customXml" ds:itemID="{BFB46C2F-1FE8-4193-A0C0-E4952A17B47C}">
  <ds:schemaRefs/>
</ds:datastoreItem>
</file>

<file path=customXml/itemProps11.xml><?xml version="1.0" encoding="utf-8"?>
<ds:datastoreItem xmlns:ds="http://schemas.openxmlformats.org/officeDocument/2006/customXml" ds:itemID="{8A5D0EC1-3D4A-40A8-8269-FD9451F5E4DF}">
  <ds:schemaRefs/>
</ds:datastoreItem>
</file>

<file path=customXml/itemProps12.xml><?xml version="1.0" encoding="utf-8"?>
<ds:datastoreItem xmlns:ds="http://schemas.openxmlformats.org/officeDocument/2006/customXml" ds:itemID="{3C1A365F-3AE8-4020-963B-D8AB43E29858}">
  <ds:schemaRefs/>
</ds:datastoreItem>
</file>

<file path=customXml/itemProps13.xml><?xml version="1.0" encoding="utf-8"?>
<ds:datastoreItem xmlns:ds="http://schemas.openxmlformats.org/officeDocument/2006/customXml" ds:itemID="{89D83C6D-0D41-4F09-BF49-E1E3458F34A7}">
  <ds:schemaRefs/>
</ds:datastoreItem>
</file>

<file path=customXml/itemProps14.xml><?xml version="1.0" encoding="utf-8"?>
<ds:datastoreItem xmlns:ds="http://schemas.openxmlformats.org/officeDocument/2006/customXml" ds:itemID="{36D59CA9-0D55-4FCE-B96D-1DE0A1B9D1D5}">
  <ds:schemaRefs/>
</ds:datastoreItem>
</file>

<file path=customXml/itemProps15.xml><?xml version="1.0" encoding="utf-8"?>
<ds:datastoreItem xmlns:ds="http://schemas.openxmlformats.org/officeDocument/2006/customXml" ds:itemID="{6896B9FC-CF35-4E89-A98A-8DE694BB1B08}">
  <ds:schemaRefs/>
</ds:datastoreItem>
</file>

<file path=customXml/itemProps16.xml><?xml version="1.0" encoding="utf-8"?>
<ds:datastoreItem xmlns:ds="http://schemas.openxmlformats.org/officeDocument/2006/customXml" ds:itemID="{72B4BEE7-86E5-481C-B4B6-CAB69F3C7C28}">
  <ds:schemaRefs/>
</ds:datastoreItem>
</file>

<file path=customXml/itemProps17.xml><?xml version="1.0" encoding="utf-8"?>
<ds:datastoreItem xmlns:ds="http://schemas.openxmlformats.org/officeDocument/2006/customXml" ds:itemID="{19617B20-1D9A-4973-9A49-03B199B2A1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 </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Nautiyal</dc:creator>
  <cp:lastModifiedBy>Nidhi Nautiyal</cp:lastModifiedBy>
  <dcterms:created xsi:type="dcterms:W3CDTF">2026-05-01T17:19:25Z</dcterms:created>
  <dcterms:modified xsi:type="dcterms:W3CDTF">2026-05-04T20:16:43Z</dcterms:modified>
</cp:coreProperties>
</file>